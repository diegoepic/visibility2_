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22668d6376a54f/Mentecreativa/Power BI/1- CARGA DE CAMPAÑAS/ABL/"/>
    </mc:Choice>
  </mc:AlternateContent>
  <xr:revisionPtr revIDLastSave="1467" documentId="13_ncr:1_{3A8FC570-0B2A-4238-83E4-F9F0A98B9035}" xr6:coauthVersionLast="47" xr6:coauthVersionMax="47" xr10:uidLastSave="{3F799A17-FE57-448F-8DEB-BAE7290B74D2}"/>
  <bookViews>
    <workbookView xWindow="-120" yWindow="-120" windowWidth="29040" windowHeight="15720" xr2:uid="{7452C65D-6E1C-43BD-8F12-28ED56C392EB}"/>
  </bookViews>
  <sheets>
    <sheet name="MATRIZ" sheetId="1" r:id="rId1"/>
    <sheet name="Hoja2" sheetId="4" r:id="rId2"/>
    <sheet name="AGRUPADO" sheetId="2" r:id="rId3"/>
    <sheet name="Hoja1" sheetId="3" r:id="rId4"/>
  </sheets>
  <externalReferences>
    <externalReference r:id="rId5"/>
  </externalReferences>
  <definedNames>
    <definedName name="_xlnm._FilterDatabase" localSheetId="0" hidden="1">MATRIZ!$A$1:$I$1435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28" i="1" l="1"/>
  <c r="G1527" i="1"/>
  <c r="G1526" i="1"/>
  <c r="G1525" i="1"/>
  <c r="G1524" i="1"/>
  <c r="G1523" i="1"/>
  <c r="G1522" i="1"/>
  <c r="G1521" i="1"/>
  <c r="G1520" i="1"/>
  <c r="G1519" i="1" l="1"/>
  <c r="G1518" i="1"/>
  <c r="G1517" i="1"/>
  <c r="G1516" i="1" l="1"/>
  <c r="G1515" i="1"/>
  <c r="G1514" i="1"/>
  <c r="G1509" i="1" l="1"/>
  <c r="G1508" i="1"/>
  <c r="G1507" i="1"/>
  <c r="G1513" i="1" l="1"/>
  <c r="G1512" i="1"/>
  <c r="G1511" i="1"/>
  <c r="G1510" i="1"/>
  <c r="G1503" i="1" l="1"/>
  <c r="G1486" i="1"/>
  <c r="G1485" i="1"/>
  <c r="G1484" i="1"/>
  <c r="G1483" i="1"/>
  <c r="G1488" i="1"/>
  <c r="G1487" i="1"/>
  <c r="G1496" i="1"/>
  <c r="G1495" i="1"/>
  <c r="G1494" i="1"/>
  <c r="G1493" i="1"/>
  <c r="G1492" i="1"/>
  <c r="G1491" i="1"/>
  <c r="G1490" i="1"/>
  <c r="G1489" i="1"/>
  <c r="G1498" i="1"/>
  <c r="G1497" i="1"/>
  <c r="G1499" i="1"/>
  <c r="G1502" i="1"/>
  <c r="G1501" i="1"/>
  <c r="G1500" i="1"/>
  <c r="G1504" i="1"/>
  <c r="G1506" i="1"/>
  <c r="G1505" i="1"/>
  <c r="G1477" i="1"/>
  <c r="G1476" i="1"/>
  <c r="G1475" i="1"/>
  <c r="G1474" i="1"/>
  <c r="G1479" i="1"/>
  <c r="G1478" i="1"/>
  <c r="G1482" i="1"/>
  <c r="G1481" i="1"/>
  <c r="G1480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4" i="1"/>
  <c r="G1453" i="1"/>
  <c r="G1455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Q14" i="4"/>
  <c r="Q13" i="4"/>
  <c r="Q12" i="4"/>
  <c r="Q10" i="4"/>
  <c r="Q8" i="4"/>
  <c r="Q7" i="4"/>
  <c r="Q6" i="4"/>
  <c r="Q4" i="4"/>
  <c r="Q3" i="4"/>
  <c r="Q2" i="4"/>
  <c r="I7" i="4"/>
  <c r="I6" i="4"/>
  <c r="I5" i="4"/>
  <c r="I4" i="4"/>
  <c r="I3" i="4"/>
  <c r="I2" i="4"/>
  <c r="J42" i="3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K1421" i="1" s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K1409" i="1" s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K1397" i="1" s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K1385" i="1" s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K1373" i="1" s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K1361" i="1" s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K1349" i="1" s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K1337" i="1" s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K1325" i="1" s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K1313" i="1" s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K1301" i="1" s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K1289" i="1" s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K1277" i="1" s="1"/>
  <c r="I1276" i="1"/>
  <c r="I1275" i="1"/>
  <c r="H7" i="4"/>
  <c r="H6" i="4"/>
  <c r="H5" i="4"/>
  <c r="H4" i="4"/>
  <c r="H3" i="4"/>
  <c r="H2" i="4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3" i="1"/>
  <c r="G1392" i="1"/>
  <c r="G1391" i="1"/>
  <c r="G1394" i="1"/>
  <c r="G1390" i="1"/>
  <c r="G1389" i="1"/>
  <c r="K1279" i="1" l="1"/>
  <c r="K1291" i="1"/>
  <c r="K1303" i="1"/>
  <c r="K1315" i="1"/>
  <c r="K1327" i="1"/>
  <c r="K1339" i="1"/>
  <c r="K1351" i="1"/>
  <c r="K1363" i="1"/>
  <c r="K1375" i="1"/>
  <c r="K1387" i="1"/>
  <c r="K1399" i="1"/>
  <c r="K1411" i="1"/>
  <c r="K1423" i="1"/>
  <c r="K1435" i="1"/>
  <c r="K1280" i="1"/>
  <c r="K1292" i="1"/>
  <c r="K1304" i="1"/>
  <c r="K1316" i="1"/>
  <c r="K1328" i="1"/>
  <c r="K1340" i="1"/>
  <c r="K1352" i="1"/>
  <c r="K1364" i="1"/>
  <c r="K1376" i="1"/>
  <c r="K1388" i="1"/>
  <c r="K1400" i="1"/>
  <c r="K1412" i="1"/>
  <c r="K1424" i="1"/>
  <c r="K1427" i="1"/>
  <c r="K1430" i="1"/>
  <c r="K1431" i="1"/>
  <c r="K1281" i="1"/>
  <c r="K1293" i="1"/>
  <c r="K1305" i="1"/>
  <c r="K1317" i="1"/>
  <c r="K1329" i="1"/>
  <c r="K1341" i="1"/>
  <c r="K1353" i="1"/>
  <c r="K1365" i="1"/>
  <c r="K1377" i="1"/>
  <c r="K1389" i="1"/>
  <c r="K1401" i="1"/>
  <c r="K1413" i="1"/>
  <c r="K1425" i="1"/>
  <c r="K1428" i="1"/>
  <c r="K1282" i="1"/>
  <c r="K1294" i="1"/>
  <c r="K1306" i="1"/>
  <c r="K1318" i="1"/>
  <c r="K1330" i="1"/>
  <c r="K1342" i="1"/>
  <c r="K1354" i="1"/>
  <c r="K1366" i="1"/>
  <c r="K1378" i="1"/>
  <c r="K1390" i="1"/>
  <c r="K1402" i="1"/>
  <c r="K1414" i="1"/>
  <c r="K1426" i="1"/>
  <c r="K1429" i="1"/>
  <c r="K1432" i="1"/>
  <c r="K1276" i="1"/>
  <c r="K1288" i="1"/>
  <c r="K1300" i="1"/>
  <c r="K1312" i="1"/>
  <c r="K1324" i="1"/>
  <c r="K1336" i="1"/>
  <c r="K1348" i="1"/>
  <c r="K1360" i="1"/>
  <c r="K1372" i="1"/>
  <c r="K1384" i="1"/>
  <c r="K1396" i="1"/>
  <c r="K1408" i="1"/>
  <c r="K1283" i="1"/>
  <c r="K1307" i="1"/>
  <c r="K1331" i="1"/>
  <c r="K1343" i="1"/>
  <c r="K1367" i="1"/>
  <c r="K1379" i="1"/>
  <c r="K1403" i="1"/>
  <c r="K1284" i="1"/>
  <c r="K1308" i="1"/>
  <c r="K1332" i="1"/>
  <c r="K1344" i="1"/>
  <c r="K1368" i="1"/>
  <c r="K1380" i="1"/>
  <c r="K1404" i="1"/>
  <c r="K1285" i="1"/>
  <c r="K1309" i="1"/>
  <c r="K1321" i="1"/>
  <c r="K1333" i="1"/>
  <c r="K1357" i="1"/>
  <c r="K1381" i="1"/>
  <c r="K1393" i="1"/>
  <c r="K1417" i="1"/>
  <c r="K1286" i="1"/>
  <c r="K1298" i="1"/>
  <c r="K1310" i="1"/>
  <c r="K1322" i="1"/>
  <c r="K1334" i="1"/>
  <c r="K1346" i="1"/>
  <c r="K1358" i="1"/>
  <c r="K1370" i="1"/>
  <c r="K1382" i="1"/>
  <c r="K1394" i="1"/>
  <c r="K1406" i="1"/>
  <c r="K1418" i="1"/>
  <c r="K1275" i="1"/>
  <c r="K1287" i="1"/>
  <c r="K1299" i="1"/>
  <c r="K1311" i="1"/>
  <c r="K1323" i="1"/>
  <c r="K1335" i="1"/>
  <c r="K1347" i="1"/>
  <c r="K1359" i="1"/>
  <c r="K1371" i="1"/>
  <c r="K1383" i="1"/>
  <c r="K1395" i="1"/>
  <c r="K1407" i="1"/>
  <c r="K1419" i="1"/>
  <c r="K1433" i="1"/>
  <c r="K1295" i="1"/>
  <c r="K1319" i="1"/>
  <c r="K1355" i="1"/>
  <c r="K1391" i="1"/>
  <c r="K1415" i="1"/>
  <c r="K1296" i="1"/>
  <c r="K1320" i="1"/>
  <c r="K1356" i="1"/>
  <c r="K1392" i="1"/>
  <c r="K1416" i="1"/>
  <c r="K1297" i="1"/>
  <c r="K1345" i="1"/>
  <c r="K1369" i="1"/>
  <c r="K1405" i="1"/>
  <c r="K1420" i="1"/>
  <c r="K1278" i="1"/>
  <c r="K1290" i="1"/>
  <c r="K1302" i="1"/>
  <c r="K1314" i="1"/>
  <c r="K1326" i="1"/>
  <c r="K1338" i="1"/>
  <c r="K1350" i="1"/>
  <c r="K1362" i="1"/>
  <c r="K1374" i="1"/>
  <c r="K1386" i="1"/>
  <c r="K1398" i="1"/>
  <c r="K1410" i="1"/>
  <c r="K1422" i="1"/>
  <c r="K1434" i="1"/>
  <c r="G1388" i="1"/>
  <c r="G1387" i="1" l="1"/>
  <c r="G1386" i="1"/>
  <c r="G1385" i="1"/>
  <c r="G1384" i="1"/>
  <c r="G1383" i="1"/>
  <c r="G1382" i="1"/>
  <c r="G1381" i="1" l="1"/>
  <c r="G1380" i="1"/>
  <c r="G1379" i="1"/>
  <c r="G1378" i="1"/>
  <c r="G1377" i="1"/>
  <c r="G1376" i="1"/>
  <c r="G1375" i="1"/>
  <c r="G1374" i="1"/>
  <c r="G1373" i="1"/>
  <c r="G1372" i="1"/>
  <c r="G1371" i="1"/>
  <c r="G1370" i="1" l="1"/>
  <c r="G1369" i="1"/>
  <c r="G1368" i="1"/>
  <c r="G1367" i="1"/>
  <c r="G1366" i="1"/>
  <c r="G1365" i="1"/>
  <c r="G1364" i="1" l="1"/>
  <c r="G1363" i="1"/>
  <c r="G1362" i="1"/>
  <c r="G1361" i="1"/>
  <c r="G1360" i="1"/>
  <c r="G1359" i="1"/>
  <c r="G1358" i="1"/>
  <c r="G1357" i="1"/>
  <c r="G1356" i="1"/>
  <c r="G1355" i="1"/>
  <c r="G1354" i="1"/>
  <c r="G1352" i="1"/>
  <c r="G1353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 l="1"/>
  <c r="G1337" i="1"/>
  <c r="G1336" i="1"/>
  <c r="G1335" i="1"/>
  <c r="G1334" i="1"/>
  <c r="G1333" i="1"/>
  <c r="G1332" i="1"/>
  <c r="G1331" i="1"/>
  <c r="G1330" i="1"/>
  <c r="G1329" i="1"/>
  <c r="G1328" i="1"/>
  <c r="G1327" i="1" l="1"/>
  <c r="G1326" i="1"/>
  <c r="G1325" i="1"/>
  <c r="G1324" i="1" l="1"/>
  <c r="G1323" i="1"/>
  <c r="G1322" i="1"/>
  <c r="G1321" i="1"/>
  <c r="G1320" i="1"/>
  <c r="G1319" i="1"/>
  <c r="G1318" i="1"/>
  <c r="G1317" i="1"/>
  <c r="G1316" i="1"/>
  <c r="G1314" i="1"/>
  <c r="G1315" i="1"/>
  <c r="G1313" i="1"/>
  <c r="G1312" i="1"/>
  <c r="G1311" i="1"/>
  <c r="G1310" i="1"/>
  <c r="G1309" i="1"/>
  <c r="G1308" i="1"/>
  <c r="G1307" i="1"/>
  <c r="G1306" i="1" l="1"/>
  <c r="G1305" i="1" l="1"/>
  <c r="G1304" i="1"/>
  <c r="G1303" i="1"/>
  <c r="G1302" i="1"/>
  <c r="G1301" i="1"/>
  <c r="G1300" i="1"/>
  <c r="G1299" i="1"/>
  <c r="G1298" i="1" l="1"/>
  <c r="G1297" i="1" l="1"/>
  <c r="G1296" i="1"/>
  <c r="G1295" i="1" l="1"/>
  <c r="G1294" i="1" l="1"/>
  <c r="G1293" i="1" l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 l="1"/>
  <c r="A772" i="2" l="1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</calcChain>
</file>

<file path=xl/sharedStrings.xml><?xml version="1.0" encoding="utf-8"?>
<sst xmlns="http://schemas.openxmlformats.org/spreadsheetml/2006/main" count="5732" uniqueCount="1742">
  <si>
    <t>TRADE</t>
  </si>
  <si>
    <t>Carmen Contardo</t>
  </si>
  <si>
    <t>Roberto Machuca</t>
  </si>
  <si>
    <t>Rosario Larrain</t>
  </si>
  <si>
    <t>Andrea Gonzalez</t>
  </si>
  <si>
    <t>Antonia Sanchez</t>
  </si>
  <si>
    <t>Rodrigo Ventura</t>
  </si>
  <si>
    <t>María Ariztía</t>
  </si>
  <si>
    <t>Ronit Ustilovsky</t>
  </si>
  <si>
    <t>María Ignacia Ariztía</t>
  </si>
  <si>
    <t>Joaquin Marzan</t>
  </si>
  <si>
    <t>Denisse Canoles</t>
  </si>
  <si>
    <t>Amanda Díaz</t>
  </si>
  <si>
    <t>María Emilia Fuenzalida</t>
  </si>
  <si>
    <t>FECHA DE INICIO CAMPAÑA</t>
  </si>
  <si>
    <t>FECHA DE TERMINO CAMPAÑA</t>
  </si>
  <si>
    <t>FECHA DE TERMINO IMPLEMENTACION</t>
  </si>
  <si>
    <t>31-04-2025</t>
  </si>
  <si>
    <t>NOMBRE CAMPAÑA INDIVIDUAL VISIBILITY</t>
  </si>
  <si>
    <t>W02 JUMBO STOPPER 20X50 BANDEO NIDO 1+</t>
  </si>
  <si>
    <t>W02 SISA STOPPER 20X50 BANDEO NIDO 1+</t>
  </si>
  <si>
    <t>W02 JUMBO CAVERNICOLAS FLEJERA + STOPPER + VIBRIN</t>
  </si>
  <si>
    <t>W02 SISA CAVERNICOLAS FLEJERA + STOPPER + VIBRIN</t>
  </si>
  <si>
    <t>W02 SSRR CAVERNICOLAS FLEJERA + STOPPER + VIBRIN</t>
  </si>
  <si>
    <t>W05 TOTTUS PASCUA 2023 - MUEBLE</t>
  </si>
  <si>
    <t>W05 ALVI PASCUA 2023 - MUEBLE</t>
  </si>
  <si>
    <t>W05 LIDER - LIDER EXPRESS MILO BTS REVESTIMIENTOS + CABECERAS</t>
  </si>
  <si>
    <t>W05 ACUENTA MILO BTS CABECERA GENERICA</t>
  </si>
  <si>
    <t>W05 SISA MILO BTS BOMBILLIN MILO TRENCITO</t>
  </si>
  <si>
    <t>W07 LIDER PAYLOADER CALDO PACK</t>
  </si>
  <si>
    <t>W07 LIDER STICKERS 2X1000</t>
  </si>
  <si>
    <t xml:space="preserve">W07 ACUENTA PAYLOADER GENERICO 5 BANDEJAS + </t>
  </si>
  <si>
    <t>W07 ACUENTA GRAFICA NESCAFE 3N EN 1 Y MIXES</t>
  </si>
  <si>
    <t>W05 LIDER PAYLOADER PARA TODO LO RICO</t>
  </si>
  <si>
    <t>W05 SISA PAYLOADER CALDO PACK</t>
  </si>
  <si>
    <t>W06 ACUENTA REVESTIMIENTO ISLA MANJAR</t>
  </si>
  <si>
    <t>W06 LIDER REVESTIMIENTO ISLA MANJAR</t>
  </si>
  <si>
    <t>W06 LIDER EXPRESS REVESTIMIENTO CABECERA CAFE</t>
  </si>
  <si>
    <t>W06 ACUENTA REVESTIMIENTO CABECERA E ISLA CAFE</t>
  </si>
  <si>
    <t>W06 LIDER REVESTIMIENTO CABECERA E ISLA CAFE</t>
  </si>
  <si>
    <t>W06 MAYORISTA 10 PASCUA 2023 - BOTADERO + MUEBLE PAYLOADEAR</t>
  </si>
  <si>
    <t>W06 UNIMARC PASCUA 2023  - BOTADERO + MUEBLE PAYLOADEAR</t>
  </si>
  <si>
    <t>W06 SSRR PASCUA 2023 - BOTADERO + MUEBLE PAYLOADEAR</t>
  </si>
  <si>
    <t>W07 SSRR PASCUA 2023 - MUEBLE PAYLOADEAR TRENCITO</t>
  </si>
  <si>
    <t>W06 SMU PASCUA 2023 - MUEBLES QW</t>
  </si>
  <si>
    <t>W06 TOTTUS PASCUA 2023 - MUEBLES QW</t>
  </si>
  <si>
    <t>W07 JUMBO PASCUA 2023 - MUEBLE EXHIBICION MEDIO + COMPLETO</t>
  </si>
  <si>
    <t>W12 ALVI - CUBREPALLET GRILL</t>
  </si>
  <si>
    <t>W14 SSRR - MOUSSE</t>
  </si>
  <si>
    <t>W11 SISA PASCUA 2023 - EXHIBIDORES + BOTADEROS</t>
  </si>
  <si>
    <t>W13 SISA - BTS PIXAR</t>
  </si>
  <si>
    <t>W13 JUMBO - BTS PIXAR</t>
  </si>
  <si>
    <t>W13 SSRR - BTS PIXAR</t>
  </si>
  <si>
    <t>W12 UNIMARC - CATALOGO MARZO GANCHERA CALDO PACK</t>
  </si>
  <si>
    <t>W12 WALMART PASCUA 2023 - MUEBLE PAYLOADEAR TRENCITO QW</t>
  </si>
  <si>
    <t>W13 SSRR - NIDO TRANSFORMACION (VIBRIN - FLEJERA - MARCO PRECIO - PENDON)</t>
  </si>
  <si>
    <t>W13 SSRR - NIDO TRANSFORMACION (PREMIO BICICLETA ARO 20)</t>
  </si>
  <si>
    <t>W13 UNIMARC - NIDO TRANSFORMACION (STOPPER VIBRIN CABECERA)</t>
  </si>
  <si>
    <t>W13 WALMART - NIDO TRANSFORMACION (CABECERA WM HIPER (SEMI) - ISLA WM EXPRESS (SEMI) - MARCO PRECIO WM (SEMI) - STOPPER</t>
  </si>
  <si>
    <t>W13 SISA - NIDO TRANSFORMACION (FLEJERA - MARCO PRECIO - STOPPER - VIBRIN)</t>
  </si>
  <si>
    <t>W13 JUMBO - NIDO TRANSFORMACION (FLEJERA - MARCO PRECIO - STOPPER - VIBRIN)</t>
  </si>
  <si>
    <t>W13 LIDER - FDS ABRIL (STOPPER 12X20 WM BEBIDA VEGETAL COCO PROTEINA)</t>
  </si>
  <si>
    <t>W13 JUMBO - FDS ABRIL (STOPPER 20X50 + VIBRIN BEBIDA VEGETAL ALMENDRA COCO PROTEINA)</t>
  </si>
  <si>
    <t>W14 JUMBO - CATALOGO ABRIL CAFÉ</t>
  </si>
  <si>
    <t>W14 JUMBO - LANZAMIENTO TÉ</t>
  </si>
  <si>
    <t>W14 WALMART - LANZAMIENTO TÉ</t>
  </si>
  <si>
    <t>W14 WALMART - PAYLOADER SAHNE NUSS + TRENCITO</t>
  </si>
  <si>
    <t>W15 LIDER - LISTA 5 (PAYLOADER GENERICO)</t>
  </si>
  <si>
    <t>W15 SISA - TACTICO ABRIL (ESQUINEROS NIDO TRANSFORMACION)</t>
  </si>
  <si>
    <t>W15 WALMART - LISTA 5 (REVESTIMIENTO CABECERA NIDO WM)</t>
  </si>
  <si>
    <t>W14 UNIMARC - PAYLOADER SAHNE NUSS + TRENCITO + ESPECIALIDADES</t>
  </si>
  <si>
    <t>W15 WALMART - LANZAMIENTO EXCELLA (MATERIAL POP)</t>
  </si>
  <si>
    <t>W15 UNIMARC - LANZAMIENTO EXCELLA (MATERIAL POP)</t>
  </si>
  <si>
    <t>W15 JUMBO - LANZAMIENTO EXCELLA (MATERIAL POP)</t>
  </si>
  <si>
    <t>W16 JUMBO - LANZAMIENTO TÉ GLORIFICADOR</t>
  </si>
  <si>
    <t>W16 JUMBO-LANZAMIENTO SBUX BY NESPRESSO STOPPER 15X30</t>
  </si>
  <si>
    <t>W16 WALMART - TRITON BAÑADA HOTSPOT</t>
  </si>
  <si>
    <t>W16 WALMART - REV. CABECERAS - TRITON BAÑADA</t>
  </si>
  <si>
    <t>W16 SISA - CATALOGO ABRIL (PAYLOADER SOPAS Y CREMAS)</t>
  </si>
  <si>
    <t>W16 MAYORISTA 10 - CAFE CUBOS ANTIBRECHA</t>
  </si>
  <si>
    <t>W18 OXXO - TRITON BAÑADA (SOBRE MESON)</t>
  </si>
  <si>
    <t>W19 JUMBO - CATALOGO ABRIL (ESQUINEROS LLCC)</t>
  </si>
  <si>
    <t>W19 SISA - CORRIDA SANTIAGO - MILO (STOPPER SIN QR / VIBRIN SIN QR)</t>
  </si>
  <si>
    <t>W19 JUMBO - CORRIDA SANTIAGO - MILO (STOPPER SIN QR / VIBRIN SIN QR)</t>
  </si>
  <si>
    <t>W19 JUMBO - CATALOGO ABRIL - CAFÉ (ESQUINEROS NDG / STOPPER 20X50 SBUX / VIBRIN 15X15 SBUX )</t>
  </si>
  <si>
    <t>W20 JUMBO - POP MCKAY 130 AÑOS - (BANDEJAS EN L - MARCO PRECIO - REV CABECERA - REV ESQUINERO - STOPPER GIRATORIO - VIBR</t>
  </si>
  <si>
    <t>W20 SISA - POP MCKAY 130 AÑOS - (BANDEJAS EN L - MARCO PRECIO - REV CABECERA - REV ESQUINERO - STOPPER NORMAL - VIBRIN -</t>
  </si>
  <si>
    <t>W20 UNIMARC - POP MCKAY 130 AÑOS - (STOPPER GIRATORIO - REV CABECERA - CUBREPALLET)</t>
  </si>
  <si>
    <t>W20 HIPER LIDER - POP MCKAY 130 AÑOS - (BOTADERO - CUBREPALLET - MARCO PRECIO - REV CABECERA - STOPPER GIRATORIO)</t>
  </si>
  <si>
    <t>W20 LIDER EXPRESS - POP MCKAY 130 AÑOS - (BOTADERO - PAYLOADER - MARCO PRECIO - REV CABECERA - STOPPER GIRATORIO)</t>
  </si>
  <si>
    <t>W20 ACUENTA - POP MCKAY 130 AÑOS - (CUBREPALLET)</t>
  </si>
  <si>
    <t>W20 SSRR - POP MCKAY 130 AÑOS - (VIBRIN - STOPPER NORMAL - MARCO PRECIO - BANDEJAS EN L - REV ESQUINERO - REV CABECERA</t>
  </si>
  <si>
    <t>SSRR - MCKAY 130 AÑOS - (ARCO DOBLE - ARCO SIMPLE)</t>
  </si>
  <si>
    <t>W20 WALMART - POP CENTELLA - STOPPER MARCO PRECIO</t>
  </si>
  <si>
    <t>SSRR POP CENTELLA (VIBRIN - STOPPER NORMAL - MARCO PRECIO - BANDEJAS EN L - CHUPON - LOMO NAVE)</t>
  </si>
  <si>
    <t>W20 WALMART - LISTA 6 MILO - PAYLOADER GENERICO</t>
  </si>
  <si>
    <t>W20 WALMART - POP SAHNE NUSS - PAYLOADERS SAHNE NUSS L6</t>
  </si>
  <si>
    <t>W21 JUMBO - NESCAFE- (VIBRIN 15X15 CENCOSUD - MARCO DE PRECIO CENCOSUD - STOPPER 20X50 CENCOSUD)</t>
  </si>
  <si>
    <t>W21 SISA - NESCAFE- (VIBRIN 15X15 CENCOSUD - ESQUINEROS - MARCO DE PRECIO CENCOSUD - STOPPER 20X50 CENCOSUD)</t>
  </si>
  <si>
    <t>W22 SSRR - UMBRELLA LLCC (MARCO DE PRECIO GENÉRICO CON QR - STOPPER GENÉRICO CON QR - VIBRIN CON QR - PAYLOADER CON QR -</t>
  </si>
  <si>
    <t>W21 HIPER LIDER - NESCAFE- (REV. ISLA LIDER - MARCO DE PRECIO WM - STOPPER 12X20 LIDER)</t>
  </si>
  <si>
    <t>W21 LIDER EXPRESS - NESCAFE- (MARCO DE PRECIO WM - REV. CABECERA LIDER - STOPPER 12X20 LIDER)</t>
  </si>
  <si>
    <t>W21 ACUENTA - NESCAFE- (MARCO DE PRECIO WM - STOPPER 12X20 LIDER)</t>
  </si>
  <si>
    <t>W21 EKONO - NESCAFE- (REV. CABECERA LIDER - MARCO DE PRECIO WM - STOPPER 12X20 LIDER)</t>
  </si>
  <si>
    <t>W21 SSRR - NESCAFE- (MARCO DE PRECIO CON QR - PAYLOADER CON QR - STOPPER GENÉRICO CON QR - VIBRIN CON QR - REV. CABECERA</t>
  </si>
  <si>
    <t>W25 HIPER LIDER - LANZAMIENTO QUINOA NESTUM - (MARCO DE PRECIO QUINOA 12X12 - STOPPER QUINOA 12x20)</t>
  </si>
  <si>
    <t>W25 LIDER EXPRESS - LANZAMIENTO QUINOA NESTUM - (MARCO DE PRECIO QUINOA 12X12 - STOPPER QUINOA 12x20)</t>
  </si>
  <si>
    <t>W22 SISA - SAHNE NUSS- CARTELERIA</t>
  </si>
  <si>
    <t>W22 SISA - CARTELERIA SAHNE NUSS - CARTELERIA</t>
  </si>
  <si>
    <t>W25 JUMBO - POP EXCELLA (MARCO DE PRECIO GENÉRICO - STOPPER EXCELLA BRANDED NIDO 1+ 20x50 - STOPPER EXCELLA UNBRANDED NI</t>
  </si>
  <si>
    <t>W23 JUMBO - NUTRIPUFF NESTUM (FLEJERA EN L NUTRIPUFF 30X5 CM - MARCA PRECIOS NUTRIPUFF 10X12 - STOPPER NUTRIPUFF 20X50</t>
  </si>
  <si>
    <t>SSRR - POP CHARGE (STOPPER NORMAL - MARCO PRECIO - BANDEJAS EN L - VIBRIN - SOBREMESON)</t>
  </si>
  <si>
    <t>W25 HIPER LIDER - CHANDELLE (STOPPER 12X20CM WM - MARCA PRECIOS 12X12CM WM)</t>
  </si>
  <si>
    <t>W25 LIDER EXPRESS - CHANDELLE (STOPPER 12X20CM WM - MARCA PRECIOS 12X12CM WM)</t>
  </si>
  <si>
    <t>W26 JUMBO - CHANDELLE (FLEJERA EN L 30X5CM CENCO - MARCA PRECIOS 10X12CM CENCO - VIBRIN 15X15CM CENCO)</t>
  </si>
  <si>
    <t>W26 SISA - CHANDELLE (FLEJERA EN L 30X5CM CENCO - MARCA PRECIOS 10X12CM CENCO - VIBRIN 15X15CM CENCO)</t>
  </si>
  <si>
    <t>W25 JUMBO - NESCAFE + TRENCITO DULCE INVIERNO (ESQUINEROS PAREJA PERFECTA)</t>
  </si>
  <si>
    <t>W26 JUMBO - LANZAMIENTO POROTOS GRANADOS (MARCO DE PRECIO POROTOS GRANADOS 10X12 - STOPPER POROTOS GRANADOS 20X50 - VIBR</t>
  </si>
  <si>
    <t>W25 HIPER LIDER - CHAMYTO SIN AZUCAR (MARCA PRECIOS 12X12CM WM - STOPPER 12X20CM WM)</t>
  </si>
  <si>
    <t>W25 LIDER EXPRESS - CHAMYTO SIN AZUCAR (MARCA PRECIOS 12X12CM WM - STOPPER 12X20CM WM)</t>
  </si>
  <si>
    <t>W28 JUMBO - CHAMYTO SIN AZUCAR (FLEJERA EN L 30X5CM - MARCA PRECIOS 10X12CM - STOPPER 20X50CM - VIBRIN 15X15CM)</t>
  </si>
  <si>
    <t>W28 SISA - CHAMYTO SIN AZUCAR (FLEJERA EN L 30X5CM - MARCA PRECIOS 10X12CM - STOPPER 20X50CM - VIBRIN 15X15CM)</t>
  </si>
  <si>
    <t>W25 UNIMARC- POP TRITON BAÑADA (PAYLOADER TRITON BAÑADA SMU)</t>
  </si>
  <si>
    <t>W22 JUMBO - UMBRELLA LLCC (MARCO DE PRECIO SIN QR - STOPPER SIN QR - VIBRIN SIN QR)</t>
  </si>
  <si>
    <t>W22 SISA - UMBRELLA LLCC (MARCO DE PRECIO SIN QR - STOPPER SIN QR - VIBRIN SIN QR - ESQUINEROS SIN QR)</t>
  </si>
  <si>
    <t>W25 ACUENTA- REFUERZO MCKAY 130 AÑOS (CUBREPALLET)</t>
  </si>
  <si>
    <t>W25 HIPER LIDER- REFUERZO MCKAY 130 AÑOS (MARCO PRECIO - STOPPER GIRATORIO)</t>
  </si>
  <si>
    <t>W25 HIPER LIDER- REFUERZO MCKAY 130 AÑOS ( BOTADERO)</t>
  </si>
  <si>
    <t>W25 HIPER LIDER- REFUERZO MCKAY 130 AÑOS ( PAYLOADER)</t>
  </si>
  <si>
    <t>W25 HIPER LIDER- REFUERZO MCKAY 130 AÑOS (FLEJERAS EN L)</t>
  </si>
  <si>
    <t>W26 JUMBO - REFUERZO MCKAY 130 AÑOS (MARCO PRECIO - STOPPER NORMAL - VIBRIN)</t>
  </si>
  <si>
    <t>W26 JUMBO - REFUERZO MCKAY 130 AÑOS (BANDEJAS MCKAY 130 AÑOS)</t>
  </si>
  <si>
    <t>W26 JUMBO - REFUERZO MCKAY 130 AÑOS (FLEJERAS EN L MCKAY 130 AÑOS)</t>
  </si>
  <si>
    <t>W26 SISA - REFUERZO MCKAY 130 AÑOS (MARCO PRECIO - STOPPER NORMAL - VIBRIN)</t>
  </si>
  <si>
    <t>W26 SISA - REFUERZO MCKAY 130 AÑOS (FLEJERAS EN L MCKAY 130 AÑOS)</t>
  </si>
  <si>
    <t>W26 SISA - REFUERZO MCKAY 130 AÑOS (BANDEJAS MCKAY 130 AÑOS)</t>
  </si>
  <si>
    <t>W26 SISA - REFUERZO MCKAY 130 AÑOS (PAYLOADER)</t>
  </si>
  <si>
    <t>W29 HIPER LIDER - NUEVA FÓRMULA ASCENDA (MARCO DE PRECIO ASCENDA WM - STOPPER ASCENDA WM)</t>
  </si>
  <si>
    <t>W29 LIDER EXPRESS - NUEVA FÓRMULA ASCENDA (MARCO DE PRECIO ASCENDA WM - STOPPER ASCENDA WM)</t>
  </si>
  <si>
    <t>W25 ACUENTA - LISTA TRAFICO CONFITES(CUBREPALLET CRIOLLITA BIPACK TRITON)</t>
  </si>
  <si>
    <t>W25 ACUENTA - LISTA TRAFICO CONFITES(CUBREPALLET PACK CHOCOLATE + BALLS)</t>
  </si>
  <si>
    <t>W25 HIPER LIDER - LISTA TRAFICO CONFITES(CUBREPALLET BIPACK TRITON)</t>
  </si>
  <si>
    <t>W25 HIPER LIDER - LISTA TRAFICO CONFITES(CUBREPALLET CRIOLLITA)</t>
  </si>
  <si>
    <t>W25 HIPER LIDER - LISTA TRAFICO CONFITES(CUBREPALLET MINI GALLETAS)</t>
  </si>
  <si>
    <t>W25 HIPER LIDER - LISTA TRAFICO CONFITES(CUBREPALLET PACK CHOCOLATE + BALLS)</t>
  </si>
  <si>
    <t>W25 HIPER LIDER - LISTA TRAFICO CONFITES(PAYLOADER CAPRI)</t>
  </si>
  <si>
    <t>W25 HIPER LIDER - LISTA 7 CULINARIOS (PAYLOADER GENÉRICO)</t>
  </si>
  <si>
    <t>W25 HIPER LIDER - LISTA 7 MILO (PAYLOADER GENÉRICO)</t>
  </si>
  <si>
    <t>W25 HIPER LIDER - LISTA 7 CAFE (REVESTIMIENTO CABECERA MIXES)</t>
  </si>
  <si>
    <t>W25 HIPER LIDER - LISTA 7 CAFE NDG (STOPPER NDG)</t>
  </si>
  <si>
    <t>W25 HIPER LIDER - LISTA 7 CAFE (REVESTIMIENTO PALLET TRADICIÓN)</t>
  </si>
  <si>
    <t>W25 HIPER LIDER - LISTA 7 CAFE (REVESTIMIENTO DE PALLET)</t>
  </si>
  <si>
    <t>W25 LIDER EXPRESS - LISTA 7 CAFE NDG (STOPPER NDG)</t>
  </si>
  <si>
    <t>W25 JUMBO - LISTA 7 CAFE STARBUCKS (MARCO DE PRECIO SBUX - STOPPER STARBUCKS CAFÉ DARK ROAST)</t>
  </si>
  <si>
    <t>W25 JUMBO - LISTA 7 CAFE STARBUCKS (FLEJERA EN L STARBUCKS)</t>
  </si>
  <si>
    <t>W25 JUMBO - CATALOGO MANJAR (MARCO DE PRECIO SIN QR)</t>
  </si>
  <si>
    <t>W25 SISA - CATALOGO MANJAR (MARCO DE PRECIO SIN QR)</t>
  </si>
  <si>
    <t>W25 HIPER LIDER - LISTA 7 MANJAR (REVESTIMIENTO PALLET MANJAR 32O)</t>
  </si>
  <si>
    <t>W25 LIDER EXPRESS - LISTA 7 MANJAR (REVESTIMIENTO CABECERA MANJAR 320 GR)</t>
  </si>
  <si>
    <t>W27 UNIMARC - POP NIDO LECHERAZO (STOPPER 1 NIDO 1+ - STOPPER 2 NIDO +1)</t>
  </si>
  <si>
    <t>W25 HIPER LIDER - LISTA TRAFICO CONFITES CHARGE (CABECERA CHECK OUT CHARGE)</t>
  </si>
  <si>
    <t>W25 LIDER EXPRESS - LISTA TRAFICO CONFITES CHARGE (CABECERA CHECK OUT CHARGE)</t>
  </si>
  <si>
    <t>W27 SISA - MAGGI (PAYLOADER SOPAS Y CREMAS)</t>
  </si>
  <si>
    <t>W27 UNIMARC - MAGGI (GANCHERA EXHIFLEX)</t>
  </si>
  <si>
    <t>W27 SSRR - CAFE TRADICION (STOPPER QR - VIBRIN QR - MARCO PRECIO QR)</t>
  </si>
  <si>
    <t>W27 SSRR - CAFE TRADICION (REVESTIMIENTO DE PALLET CON QR)</t>
  </si>
  <si>
    <t>W27 SSRR - CAFE TRADICION (REVESTIMIENTO DE CABECERA CON QR)</t>
  </si>
  <si>
    <t>W27 SISA - MILO (PAYLOADER GENERICO + GRAFICA PAYLOADER MILO MIXTO)</t>
  </si>
  <si>
    <t>W29 MAYORISTA 10 - POP GRILL MUEBLE (MUEBLE GRILL M10)</t>
  </si>
  <si>
    <t>W29 SSRR - LANZAMIENTO GOODNES MIX (MARCA PRECIOS GOODNES MIX - STOPPER GOODNES MIX - VIDRIN GOODNES MIX)</t>
  </si>
  <si>
    <t>W29 JUMBO - LANZAMIENTO GOODNES MIX (MARCA PRECIOS GOODNES MIX JUMBO - STOPPER GOODNES MIX JUMBO - VIDRÍN GOODNES MIX JU</t>
  </si>
  <si>
    <t>W29 SISA - LANZAMIENTO GOODNES MIX (MARCA PRECIOS GOODNES MIX SISA - STOPPER GOODNES MIX SISA - VIDRÍN GOODNES MIX SISA)</t>
  </si>
  <si>
    <t>W29 HIPER LIDER - LANZAMIENTO GOODNES MIX (STOPPER GOODNES MIX WM - MARCA PRECIOS GOODNES MIX WM)</t>
  </si>
  <si>
    <t>W29 LIDER EXPRESS - LANZAMIENTO GOODNES MIX (STOPPER GOODNES MIX WM - MARCA PRECIOS GOODNES MIX WM)</t>
  </si>
  <si>
    <t>W30 SSRR - CONCURSO NIN NESTUM (PAQUETE DE RASPES CONCURSO)</t>
  </si>
  <si>
    <t>W30 SSRR - CONCURSO NIN NESTUM (PAYLOADER CONCURSO NIN)</t>
  </si>
  <si>
    <t>W30 SSRR - CONCURSO NIN NESTUM (PREMIO CUNA BEBE BEBESIT)</t>
  </si>
  <si>
    <t>W30 SSRR - CONCURSO NIN NESTUM (PREMIO SILLA DE BEBE COSCO)</t>
  </si>
  <si>
    <t>W30 SSRR - CONCURSO NIN NESTUM (REVESTIMIENTO DE CABECERA CONCURSO NIN)</t>
  </si>
  <si>
    <t>W30 SSRR - CONCURSO NIN NESTUM (STOPPER CONCURSO NIN - VIBRIN CONCURSO NIN)</t>
  </si>
  <si>
    <t>W29 JUMBO -  NUEVO NESTUM CON QUINOA (MARCO DE PRECIO - STOPPER - VIDRIN)</t>
  </si>
  <si>
    <t>W29 JUMBO -  NUEVO NESTUM CON QUINOA (FLEJERA EN L)</t>
  </si>
  <si>
    <t>W31 SSRR - TAPITAS ANIMALES NATURNES (MARCO PRECIO - STOPPER - VIDRINES)</t>
  </si>
  <si>
    <t>W31 SSRR - TAPITAS ANIMALES NATURNES (FLEJERAS EN L)</t>
  </si>
  <si>
    <t>W31 SISA - TAPITAS ANIMALES NATURNES (MARCO PRECIO - STOPPER - VIDRINES)</t>
  </si>
  <si>
    <t>W31 SISA - TAPITAS ANIMALES NATURNES (FLEJERAS EN L)</t>
  </si>
  <si>
    <t>W31 JUMBO - TAPITAS ANIMALES NATURNES (MARCO PRECIO - STOPPER - VIDRINES)</t>
  </si>
  <si>
    <t>W31 JUMBO - TAPITAS ANIMALES NATURNES (FLEJERAS EN L)</t>
  </si>
  <si>
    <t>W29 HIPER LIDER -  NATURNES POROTOS GRANADOS 250GR (STOPPER WM)</t>
  </si>
  <si>
    <t>W30 HIPER LIDER - MES DE LA DULZURA (ISLA MULTIMARCA)</t>
  </si>
  <si>
    <t>W30 SISA - MES DE LA DULZURA (ISLA DULCE GUSTITO)</t>
  </si>
  <si>
    <t>W30 HIPER LIDER - TE NATURE HEARTH (PAYLOADER)</t>
  </si>
  <si>
    <t>W32 UNIMARC - LANZAMIENTO GOODNES MIX (VIDRIN)</t>
  </si>
  <si>
    <t>W32 UNIMARC - LANZAMIENTO CHAMYTO SIN AZUCAR (VIDRIN)</t>
  </si>
  <si>
    <t>W30 JUMBO - TRENCITO (VIDRIN - MARCO PRECIO - STOPPER GIRATORIO - BANDEJA EN L)</t>
  </si>
  <si>
    <t>W30 SISA - TRENCITO (VIDRIN - MARCO PRECIO - STOPPER GIRATORIO - BANDEJA EN L)</t>
  </si>
  <si>
    <t>W30 HIPER LIDER - TRENCITO (STOPPER GIRATORIO - MARCO PRECIO - BANDEJA EN L)</t>
  </si>
  <si>
    <t>W30 HIPER LIDER - TRENCITO (PAYLOADER)</t>
  </si>
  <si>
    <t>W30 LIDER EXPRESS - TRENCITO (STOPPER GIRATORIO - MARCO PRECIO - BANDEJA EN L)</t>
  </si>
  <si>
    <t>W30 LIDER EXPRESS - TRENCITO (BOTADEROS)</t>
  </si>
  <si>
    <t>W30 SSRR - TRENCITO (STOPPER GIRATORIO - MARCO PRECIO - BANDEJAS EN L - VIBRIN)</t>
  </si>
  <si>
    <t>W30 SSRR - TRENCITO (REVESTIMIENTO CABECERA)</t>
  </si>
  <si>
    <t>W30 SSRR - TRENCITO (ARCO BOTADERO)</t>
  </si>
  <si>
    <t>W30 SSRR - TRENCITO (PAYLOADER)</t>
  </si>
  <si>
    <t>W30 HIPER LIDER - TRITON (STOPPER - MARCO PRECIO - BANDEJA EN L)</t>
  </si>
  <si>
    <t>W30 LIDER EXPRESS - TRITON (STOPPER - MARCO PRECIO - BANDEJA EN L)</t>
  </si>
  <si>
    <t>W30 LIDER EXPRESS - TRITON (REVESTIMIENTO CABECERA)</t>
  </si>
  <si>
    <t>W28 JUMBO - NUEVA FORMULA ASCENDA (STOPPERS - MARCO DE PRECIOS - VIDRIN)</t>
  </si>
  <si>
    <t>W33 HIPER LIDER - NIDO 1+ INGREDIENTES (STOPPERS - MARCO DE PRECIOS - VIDRIN)</t>
  </si>
  <si>
    <t>W33 LIDER EXPRESS - NIDO 1+ INGREDIENTES (STOPPERS - MARCO DE PRECIOS - VIDRIN)</t>
  </si>
  <si>
    <t>W25 SSRR - CHANDELLE CHOCOLATE NARANAJA Y SUSPIRO LIMON (MARCO PRECIO)</t>
  </si>
  <si>
    <t>W25 SSRR - NUEVO YOGURT CHAMYTO SIN AZUCAR (STOPPER - MARCO PRECIO  - FLEJERA EN L - POSTER - VIDRIN)</t>
  </si>
  <si>
    <t>W SSRR - ISLAS MES DE LA DULZURA (ISLA 100 X 120 - ISLA 120 X 120)</t>
  </si>
  <si>
    <t>W33 HIPER LIDER - GRILL (MUEBLE GRILL)</t>
  </si>
  <si>
    <t>W34 UNIMARC - KUKY BIPACK TRITON (CUBREPALLET)</t>
  </si>
  <si>
    <t>W34 JUMBO - SAHNE NUSS VARIEDADES (VIBRIN - MARCO PRECIO - STOPPER GIRATORIO - BANDEJA EN L)</t>
  </si>
  <si>
    <t>W34 HIPER LIDER - SAHNE NUSS VARIEDADES (MARCO PRECIO - STOPPER GIRATORIO - BANDEJA EN L)</t>
  </si>
  <si>
    <t>W34 HIPER LIDER - SAHNE NUSS VARIEDADES (PAYLOADERS)</t>
  </si>
  <si>
    <t>W33 SSRR - HOJARASCA (MARCOS DE PRECIOS GENERICO 10X12 - STOPPER GENERICO 15X30 - VIDRIN GENERICO 15X15)</t>
  </si>
  <si>
    <t>W33 SSRR - HOJARASCA (CUBRE PALLET GENERICO 120X100X100)</t>
  </si>
  <si>
    <t>W34 HIPER LIDER - TAPITAS CON MI CLUB LIDER (MARCO DE PRECIOS 12X20 - STOPPER 12X20)</t>
  </si>
  <si>
    <t>W34 HIPER LIDER - TAPITAS CON MI CLUB LIDER (REVESTIMIENTO LATERAL DE CABECERA 45X160)</t>
  </si>
  <si>
    <t>W34 LIDER EXPRESS - TAPITAS CON MI CLUB LIDER (MARCO DE PRECIOS 12X20 - STOPPER 12X20)</t>
  </si>
  <si>
    <t>W33 OXXO -  SOBRE MESON KIT KAT</t>
  </si>
  <si>
    <t>W22 SSRR - MES DE LA DULZURA SSRR (ISLA 100 X 120 - ISLA 120 X 120)</t>
  </si>
  <si>
    <t>W33 HIPER LIDER - NUEVO NAN OPTIPRO (STOPPERS - MARCO DE PRECIOS)</t>
  </si>
  <si>
    <t>W33 HIPER LIDER - PLAN PIÑA (STOPPER SAVORY MARCO PRECIO SAVORY CHUPON SAVORY CABECERA MIXTA STOPPER CHAMONIX MARCO</t>
  </si>
  <si>
    <t>W33 LIDER EXPRESS - NUEVO NAN OPTIPRO (STOPPERS - MARCO DE PRECIOS)</t>
  </si>
  <si>
    <t>W33 LIDER EXPRESS - PLAN PIÑA (STOPPER SAVORY MARCO PRECIO SAVORY CHUPON SAVORY STOPPER CHAMONIX MARCO PRECIO CHAMON</t>
  </si>
  <si>
    <t>W33 SISA - HOJARASCA (ESQUINEROS SISA 30X30X100)</t>
  </si>
  <si>
    <t>W33 SISA - HOJARASCA (MARCO DE PRECIO SISA 10X12 - STOPPER SISA 20X50 - VIBRIN SISA 15X15)</t>
  </si>
  <si>
    <t>W33 SSRR - HOJARASCA (VIDRIN GENERICO 15X15 MARCOS DE PRECIOS GENERICO 10X12 STOPPER GENERICO 15X32)</t>
  </si>
  <si>
    <t>W33 UNIMARC - HOJARASCA (STOPPER UNIMARC 10X30)</t>
  </si>
  <si>
    <t>W33 UNIMARC - PLAN PIÑA (STOPPER SAVORY STOPPER CHAMONIX)</t>
  </si>
  <si>
    <t>W35 JUMBO - PLAN PIÑA (CABECERA MIXTA)</t>
  </si>
  <si>
    <t>W35 JUMBO - PLAN PIÑA (VIBRIN SAVORY STOPPER SAVORY MARCO PRECIO SAVORY CHUPON SAVORY BANDEJA EN L SAVORY LOMO NAVE</t>
  </si>
  <si>
    <t>W35 JUMBO - Tapitas Muebles (MUEBLES TAPITAS JUMBO)</t>
  </si>
  <si>
    <t>W35 SISA - PLAN PIÑA (VIBRIN SAVORY STOPPER SAVORY MARCO PRECIO SAVORY CHUPON SAVORY BANDEJA EN L SAVORY LOMO NAVE S</t>
  </si>
  <si>
    <t>W38 JUMBO - NIDO 1+ INGREDIENTE (STOPPER1 NIDO1+NUT STOPPER2 NIDO1+NUT MARCO PRECIO NIDO1+NUT VIB1NIDO1+NUT VIB2NIDO1+N</t>
  </si>
  <si>
    <t>W38 SISA - NIDO 1+ INGREDIENTE (STOPPER1 NIDO1+NUT STOPPER2 NIDO1+NUT MARCO PRECIO NIDO1+NUT VIB1NIDO1+NUT VIB2NIDO1+NU</t>
  </si>
  <si>
    <t>W39 JUMBO - POP MOCHILAS (STOPPER MOCHILAS 1 20X50CM STOPPER MOCHILAS 2 20X50CM PACK 4 MARCOS DE PRECIOS MOCHILAS 10X12</t>
  </si>
  <si>
    <t>W40 SSRR - HALLOWEEN SSRR (PAYLOADER</t>
  </si>
  <si>
    <t>W43 JUMBO - NAN SUPREME (STOPPER VIBRIN FLEJERA)</t>
  </si>
  <si>
    <t>W46 UNIMARC - MUEBLES NAVIDAD (PAYLOADERS)</t>
  </si>
  <si>
    <t>W18 SISA - PAYLOADERS S&amp;C MEGA MAGGI(PAYLOADER)</t>
  </si>
  <si>
    <t>W18 SISA - PAYLOADERS S&amp;C MEGA MAGGI(STICKER QR)</t>
  </si>
  <si>
    <t>W18 SISA - PAYLOADERS S&amp;C MEGA MAGGI(FLEJERA)</t>
  </si>
  <si>
    <t>CAMPAÑA RETIRO PAYLOADERS NATURNES LISTA 1 WALMART</t>
  </si>
  <si>
    <t>CAMPAÑA RETIRO - SAHNE NUSS HIPER LIDER DETALLE (ISLA) AGOSTO 2025</t>
  </si>
  <si>
    <t>CAMPAÑA RETIRO - MCKAY HIPER LIDER DETALLE (ISLA) AGOSTO 2025</t>
  </si>
  <si>
    <t>CAMPAÑA RETIRO - TRENCITO TOTTUS (ISLA) SEPTIEMBRE 2025</t>
  </si>
  <si>
    <t>CAMPAÑA RETIRO - SAHNE NUSS JUMBO (ISLA)</t>
  </si>
  <si>
    <t>W02 SSRR - TRITON LOLLAPALOOZA (PAYLOADER)</t>
  </si>
  <si>
    <t>NOMBRE CAMPAÑA AGRUPADA VISIBILITY</t>
  </si>
  <si>
    <t>CAVERNICOLAS</t>
  </si>
  <si>
    <t>PASCUA 2023</t>
  </si>
  <si>
    <t>BTS</t>
  </si>
  <si>
    <t>BTS PIXAR</t>
  </si>
  <si>
    <t>NIDO TRANSFORMACION</t>
  </si>
  <si>
    <t>FDS ABRIL</t>
  </si>
  <si>
    <t>CATALOGO ABRIL</t>
  </si>
  <si>
    <t>LANZAMIENTO TÉ</t>
  </si>
  <si>
    <t>PAYLOADER CHOCOLATES</t>
  </si>
  <si>
    <t>LISTA 5</t>
  </si>
  <si>
    <t>LANZAMIENTO EXCELLA</t>
  </si>
  <si>
    <t>TRITON BAÑADA</t>
  </si>
  <si>
    <t>W18 OXXO - TRITON BAÑADA</t>
  </si>
  <si>
    <t>CORRIDA SANTIAGO</t>
  </si>
  <si>
    <t>POP MACKAY 130 AÑOS</t>
  </si>
  <si>
    <t>CENTELLA</t>
  </si>
  <si>
    <t>NESCAFE</t>
  </si>
  <si>
    <t>LANZAMIENTO QUINOA</t>
  </si>
  <si>
    <t>SAHNE NUSS CARTELERIA</t>
  </si>
  <si>
    <t>CARTELERIA SAHNE NUSS</t>
  </si>
  <si>
    <t>EXCELLA</t>
  </si>
  <si>
    <t>NUTRIPUF</t>
  </si>
  <si>
    <t>CHARGE</t>
  </si>
  <si>
    <t>CHANDELLE</t>
  </si>
  <si>
    <t>LA PAREJA PERFECTA</t>
  </si>
  <si>
    <t>POROTOS GRANADOS</t>
  </si>
  <si>
    <t xml:space="preserve"> NUEVO YOGURT CHAMYTO SIN AZUCAR</t>
  </si>
  <si>
    <t>CAMPAÑA UMBRELLA</t>
  </si>
  <si>
    <t>NUEVA FORMULA ASCENDA</t>
  </si>
  <si>
    <t>LISTA TRAFICO CONFITES</t>
  </si>
  <si>
    <t>LISTA 7</t>
  </si>
  <si>
    <t>Campaña eliminada por solicitud cliente</t>
  </si>
  <si>
    <t>CATALOGO</t>
  </si>
  <si>
    <t>NIDO +1</t>
  </si>
  <si>
    <t>FDM JUNIO</t>
  </si>
  <si>
    <t>CATALOGO JUNIO</t>
  </si>
  <si>
    <t>CAMPAÑA NESCAFE PROMO</t>
  </si>
  <si>
    <t>FDM AGOSTO</t>
  </si>
  <si>
    <t>POP GRILL</t>
  </si>
  <si>
    <t>LANZAMIENTO GOODNES MIX</t>
  </si>
  <si>
    <t>CONCURSO NIN</t>
  </si>
  <si>
    <t>LANZAMIENTO NESTUM 7 CEREALES + QUINOA</t>
  </si>
  <si>
    <t>CONCURSO NATURNES TAPITAS COLECCIONABLES</t>
  </si>
  <si>
    <t>LANZAMIENTO POROTOS GRANADOS EN WALMART</t>
  </si>
  <si>
    <t>MES DE LA DULZURA</t>
  </si>
  <si>
    <t>LIDER 8</t>
  </si>
  <si>
    <t>LANZAMIENTO CHAMYTO SIN AZUCAR</t>
  </si>
  <si>
    <t>TRENCITO</t>
  </si>
  <si>
    <t>LANZAMIENTO ASCENDA</t>
  </si>
  <si>
    <t>APOYO NIDO 1+</t>
  </si>
  <si>
    <t>CHANDELLE IN &amp; OUT</t>
  </si>
  <si>
    <t>GRILL</t>
  </si>
  <si>
    <t>KUKY BIPACK TRITON</t>
  </si>
  <si>
    <t>SAHNE NUSS VARIEDADES</t>
  </si>
  <si>
    <t>DULCE CHILENIDAD</t>
  </si>
  <si>
    <t>CAMPAÑA TAPITAS EN WM</t>
  </si>
  <si>
    <t>KI T KAT VAC</t>
  </si>
  <si>
    <t>NAN OPTIPRO NUEVA IMAGEN</t>
  </si>
  <si>
    <t>MCKAY</t>
  </si>
  <si>
    <t>W37 SISA - FLEJERAS CHOC CHECK OUT (FLEJERAS CHECK OUT)</t>
  </si>
  <si>
    <t>W33 ACUENTA - CUBREPALLETS MOROCHA CRUNCHY (CUBREPALLETS)</t>
  </si>
  <si>
    <t>W33 HIPER LIDER - HOJARASCA (REVESTIMIENTO DE PALLET WM)</t>
  </si>
  <si>
    <t>W33 HIPER LIDER - HOJARASCA (STOPPER WM 12X20)</t>
  </si>
  <si>
    <t>W33 HIPER LIDER - REV. CHECK OUT KIT KAT (REV. CHECK OUT)</t>
  </si>
  <si>
    <t>W33 HIPER LIDER - HOJARASCA (REVESTIMIENTO LATERAL DE CABECERA WM 45X160)</t>
  </si>
  <si>
    <t>W33 LIDER EXPRESS - HOJARASCA (REVESTIMIENTO LATERAL DE CABECERA WM 45X170)</t>
  </si>
  <si>
    <t>W33 LIDER EXPRESS - HOJARASCA (STOPPER WM 12X20)</t>
  </si>
  <si>
    <t>W33 LIDER EXPRESS - REV. CHECK OUT KIT KAT (REV. CHECK OUT)</t>
  </si>
  <si>
    <t>W33 SSRR - HOJARASCA (CUBRE PALLET GENERICO)</t>
  </si>
  <si>
    <t>W33 SSRR - HOJARASCA (PAYLOADER)</t>
  </si>
  <si>
    <t>W34 OKM - OKM OXXO KIT KAT (EXHIBIDOR KIT KAT)</t>
  </si>
  <si>
    <t>W34 SSRR - PLAN PIÑA (ARCOS)</t>
  </si>
  <si>
    <t>W34 SSRR - PLAN PIÑA (BUZON)</t>
  </si>
  <si>
    <t>W34 SSRR - PLAN PIÑA (CUPONERAS)</t>
  </si>
  <si>
    <t>W34 SSRR - PLAN PIÑA (LOMO NAVE STOPPER CHUPON BANDEJA EN L VIBRIN MARCO PRECIO AFICHE)</t>
  </si>
  <si>
    <t>W35 SSRR - POP SAHNE NUSS VARIEDADES (FLOORGRAPHIC)</t>
  </si>
  <si>
    <t>W35 SSRR - POP SAHNE NUSS VARIEDADES (REV. CABECERA)</t>
  </si>
  <si>
    <t>W35 SSRR - POP SAHNE NUSS VARIEDADES (VIBRIN MARCO PRECIO STOPPER BANDEJA EN L)</t>
  </si>
  <si>
    <t>W36 SSRR - DOLCA COOLER (CABECERA)</t>
  </si>
  <si>
    <t>W36 SSRR - DOLCA COOLER (COOLER)</t>
  </si>
  <si>
    <t>W36 SSRR - DOLCA COOLER (MARCO PRECIO VIBRIN STOPPER BUZONES CUPONES)</t>
  </si>
  <si>
    <t>W36 SSRR - DOLCA TOYOTOMI (CABECERA)</t>
  </si>
  <si>
    <t>W36 SSRR - DOLCA TOYOTOMI (ESTUFA)</t>
  </si>
  <si>
    <t>W36 SSRR - DOLCA TOYOTOMI (MARCO PRECIO VIBRIN STOPPER BUZONES CUPONES)</t>
  </si>
  <si>
    <t>W37 OKM - SALAS OXXO (ADAPTACIÓN GRÁFICAS)</t>
  </si>
  <si>
    <t>W37 OKM - SALAS OXXO (MUEBLE NUEVO)</t>
  </si>
  <si>
    <t>W37 SISA - CARTELERIA SAHNE NUSS (CARTELERIA)</t>
  </si>
  <si>
    <t>W39 HIPER LIDER - NIDO ENTERA (CUBRE PALLETS) (CUBRE PALLET NIDO ENTERA WM)</t>
  </si>
  <si>
    <t>W39 HIPER LIDER - POP MOCHILAS (CENEFA 1/2 PDQ)</t>
  </si>
  <si>
    <t>W39 HIPER LIDER - POP MOCHILAS (STOPPER MOCHILAS 1 WM 12X20CM STOPPER MOCHILAS 2 WM 12X20CM PACK 4 MARCO PRECIOS MOCHILA</t>
  </si>
  <si>
    <t>W39 JUMBO - POP MOCHILAS (PACK 4 FLEJERAS MOCHILAS 30X5CM )</t>
  </si>
  <si>
    <t>W39 LIDER EXPRESS - POP MOCHILAS (STOPPER MOCHILAS 1 WM 12X20CM STOPPER MOCHILAS 2 WM 12X20CM PACK 4 MARCO PRECIOS MOCHI</t>
  </si>
  <si>
    <t>W39 SISA - POP MOCHILAS (ESQUINEROS (4 ESQUINAS) MOCHILAS SISA)</t>
  </si>
  <si>
    <t>W39 SISA - POP MOCHILAS (PACK 4 FLEJERAS MOCHILAS 30X5CM SISA)</t>
  </si>
  <si>
    <t>W39 SISA - POP MOCHILAS (STOPPER MOCHILAS 1 20X50CM STOPPER MOCHILAS 2 20X50CMSISA PACK 4 MARCOS DE PRECIOS MOCHILASSISA</t>
  </si>
  <si>
    <t>W35 JUMBO - POP CAPRI MENTA(STOPPER MARCO PRECIO MENTA MARCO PRECIO RENOVACION FLEJERA EN L MENTA FLEJERA EN L RENOVACIO</t>
  </si>
  <si>
    <t>W35 SISA - POP CAPRI MENTA(STOPPER MARCO PRECIO MENTA MARCO PRECIO RENOVACION FLEJERA EN L MENTA FLEJERA EN L RENOVACION</t>
  </si>
  <si>
    <t>W35 SISA - POP CAPRI MENTA(PAYLOADERS)</t>
  </si>
  <si>
    <t>W38 HIPER LIDER - POP CAPRI MENTA(STOPPER MARCO PRECIO MENTA MARCO PRECIO RENOVACION FLEJERA EN L MENTA FLEJERA EN L REN</t>
  </si>
  <si>
    <t>W38 HIPER LIDER - POP CAPRI MENTA(PAYLOADERS)</t>
  </si>
  <si>
    <t>W38 LIDER EXPRESS - POP CAPRI MENTA(STOPPER MARCO PRECIO MENTA MARCO PRECIO RENOVACION)</t>
  </si>
  <si>
    <t>W38 LIDER EXPRESS - PAYLOADERS TRENCITO (PAYLOADERS)</t>
  </si>
  <si>
    <t>W38 HIPER LIDER - POP MILO PANAMERICANOS (CUBREPALLETS)</t>
  </si>
  <si>
    <t>W38 LIDER EXPRESS - POP MILO PANAMERICANOS (REV. CABECERA)</t>
  </si>
  <si>
    <t>W35 JUMBO - POP TRITON BAÑADA (VIBRIN STOPPER MARCO PRECIO)</t>
  </si>
  <si>
    <t>W35 JUMBO - POP TRITON BAÑADA (BANDEJA EN L)</t>
  </si>
  <si>
    <t>W35 SISA - POP TRITON BAÑADA (VIBRIN STOPPER MARCO PRECIO)</t>
  </si>
  <si>
    <t>W35 SISA - POP TRITON BAÑADA (BANDEJA EN L)</t>
  </si>
  <si>
    <t>W40 MAYORISTA 10 - CUBREPALLETS HALLOWEEN (CUBREPALLET)</t>
  </si>
  <si>
    <t>W40 ALVI - MUEBLES HALLOWEEN (MUEBLE)</t>
  </si>
  <si>
    <t>W40 MAYORISTA 10 - MUEBLES HALLOWEEN (MUEBLE)</t>
  </si>
  <si>
    <t>W40 UNIMARC - MUEBLES HALLOWEEN (MUEBLE)</t>
  </si>
  <si>
    <t>W40 JUMBO - POP HALLOWEEN (BOTADERO)</t>
  </si>
  <si>
    <t>W40 JUMBO - POP HALLOWEEN (VIBRIN STOPPER MARCO PRECIO)</t>
  </si>
  <si>
    <t>W40 SISA - POP HALLOWEEN (VIBRIN STOPPER MARCO PRECIO)</t>
  </si>
  <si>
    <t>W41 ACUENTA - POP TRAFICO (BOTADERO)</t>
  </si>
  <si>
    <t>W41 ACUENTA - POP TRAFICO (STICKER BOTADERO)</t>
  </si>
  <si>
    <t>W41 ACUENTA - POP TRAFICO (REV. CABECERA)</t>
  </si>
  <si>
    <t>W41 HIPER LIDER - POP TRAFICO (CUBREPALLET)</t>
  </si>
  <si>
    <t>W41 LIDER EXPRESS - POP TRAFICO (REV. CABECERA)</t>
  </si>
  <si>
    <t>W39 JUMBO - ESQUINEROS MEGA (ESQUINEROS CHOCOLATES)</t>
  </si>
  <si>
    <t>W39 SISA - ESQUINEROS MEGA (ESQUINEROS CRIOLLITAS)</t>
  </si>
  <si>
    <t>W39 SISA - ESQUINEROS MEGA (ESQUINEROS BIPACK TRITON)</t>
  </si>
  <si>
    <t>W41 HIPER LIDER - POP MILO PANAMERICANOS L11(CUBREPALLET)</t>
  </si>
  <si>
    <t>W41 HIPER LIDER - PAYLOADERS NH L11 (PAYLOADERS)</t>
  </si>
  <si>
    <t>W42 SSRR - CONCURSO NIDO BICICLETAS (BICLICLETA)</t>
  </si>
  <si>
    <t>W42 SSRR - CONCURSO NIDO BICICLETAS (CUBREPALLET)</t>
  </si>
  <si>
    <t>W42 SSRR - CONCURSO NIDO BICICLETAS (PENDON)</t>
  </si>
  <si>
    <t>W42 SSRR - CONCURSO NIDO BICICLETAS (RASPES)</t>
  </si>
  <si>
    <t>W42 SSRR - CONCURSO NIDO BICICLETAS (REV. CABECERA)</t>
  </si>
  <si>
    <t>W42 SSRR - CONCURSO NIDO BICICLETAS (STOPPER VIBRIN MARCO PRECIO)</t>
  </si>
  <si>
    <t>W45 JUMBO - POP LA CREMERÍA (STOPPER MARCO PRECIO)</t>
  </si>
  <si>
    <t>W45 JUMBO - POP LA CREMERÍA (CHUPON)</t>
  </si>
  <si>
    <t>W45 JUMBO - POP LA CREMERÍA (FLEJERA L)</t>
  </si>
  <si>
    <t>W41 HIPER LIDER - POP LA CREMERÍA (STOPPER MARCO PRECIO)</t>
  </si>
  <si>
    <t>W41 HIPER LIDER - POP LA CREMERÍA (LATERAL CABECERA)</t>
  </si>
  <si>
    <t>W41 LIDER EXPRESS - POP LA CREMERÍA (MARCO PRECIO)</t>
  </si>
  <si>
    <t>W41 HIPER LIDER - POP SAVORY 1.8L (MARCO PRECIO)</t>
  </si>
  <si>
    <t>W41 HIPER LIDER - POP SAVORY 1.8L (LATERAL CABECERA)</t>
  </si>
  <si>
    <t>W41 LIDER EXPRESS - POP SAVORY 1.8L (MARCO PRECIO)</t>
  </si>
  <si>
    <t>W45 JUMBO - POP SAVORY 1.8L (STOPPER MARCO PRECIO)</t>
  </si>
  <si>
    <t>W45 JUMBO - POP SAVORY 1.8L (CHUPON)</t>
  </si>
  <si>
    <t>W45 JUMBO - POP SAVORY 1.8L (BANDEJA EN L)</t>
  </si>
  <si>
    <t>W45 SISA - POP SAVORY 1.8L (STOPPER MARCO PRECIO)</t>
  </si>
  <si>
    <t>W45 SISA - POP SAVORY 1.8L (CHUPON)</t>
  </si>
  <si>
    <t>W45 SISA - POP SAVORY 1.8L (BANDEJA EN L)</t>
  </si>
  <si>
    <t>W43 JUMBO - POP CHOC + TRIX (STOPPER MARCO PRECIO VIBRIN)</t>
  </si>
  <si>
    <t>W43 JUMBO - POP CHOC + TRIX (FLEJERA L)</t>
  </si>
  <si>
    <t>W43 SISA - POP CHOC + TRIX (STOPPER MARCO PRECIO VIBRIN)</t>
  </si>
  <si>
    <t>W43 SISA - POP CHOC + TRIX (FLEJERA L)</t>
  </si>
  <si>
    <t>W41 HIPER LIDER - POP CHOC + TRIX (STOPPER MARCO PRECIO)</t>
  </si>
  <si>
    <t>W41 LIDER EXPRESS - POP CHOC + TRIX (STOPPER MARCO PRECIO)</t>
  </si>
  <si>
    <t>W43 JUMBO - STICKER GLORIF. SBUX BY NESP (STICKER)</t>
  </si>
  <si>
    <t>W43 JUMBO - STICKER GLORIF. SBUX BY NESP (GLORIFICADOR)</t>
  </si>
  <si>
    <t>W43 UNIMARC - CUBREPALLETS MOROCHA (CUBREPALLET)</t>
  </si>
  <si>
    <t>W43 JUMBO - NAN COMFORT (STOPPER VIBRIN MARCO PRECIO FLEJERA)</t>
  </si>
  <si>
    <t>W43 SISA - PAYLOADERS MILO (PAYLOADERS)</t>
  </si>
  <si>
    <t>W43 UNIMARC - PAYLOADER SAHNE NUSS (PAYLOADERS)</t>
  </si>
  <si>
    <t>W47 SSRR - POP SAVORY 1.8L (STOPPER MARCO PRECIO)</t>
  </si>
  <si>
    <t>W47 SSRR - POP SAVORY 1.8L (BANDEJA EN L)</t>
  </si>
  <si>
    <t>W47 SSRR - POP SAVORY 1.8L (LOMO NAVE)</t>
  </si>
  <si>
    <t>W45 SSRR - POP LA CREMERÍA (STOPPER MARCO PRECIO)</t>
  </si>
  <si>
    <t>W45 SSRR - POP LA CREMERÍA (CHUPON)</t>
  </si>
  <si>
    <t>W45 SSRR - POP LA CREMERÍA (LOMO NAVE)</t>
  </si>
  <si>
    <t>W46 MAYORISTA 10 - MUEBLES GALLETAS NAVIDAD (PAYLOADERS)</t>
  </si>
  <si>
    <t>W46 HIPER LIDER - HOTSPOT TRENCITO BAÑADA (HOTSPOT)</t>
  </si>
  <si>
    <t>W47 UNIMARC - BOTADEROS MCKAY (BOTADERO)</t>
  </si>
  <si>
    <t>W47 LIDER EXPRESS - POP NIDO TRANSFORMACIÓN (STOPPER)</t>
  </si>
  <si>
    <t>W47 HIPER LIDER - POP NIDO TRANSFORMACIÓN (STOPPER)</t>
  </si>
  <si>
    <t>W48 JUMBO - POP NIDO TRANSFORMACIÓN (STOPPER VIBRIN)</t>
  </si>
  <si>
    <t>W48 JUMBO - POP NIDO TRANSFORMACIÓN (FLEJERA L)</t>
  </si>
  <si>
    <t>W48 SISA - POP NIDO TRANSFORMACIÓN (STOPPER VIBRIN)</t>
  </si>
  <si>
    <t>W48 SISA - POP NIDO TRANSFORMACIÓN (FLEJERA L)</t>
  </si>
  <si>
    <t>W47 UNIMARC - POP NIDO TRANSFORMACIÓN (STOPPER)</t>
  </si>
  <si>
    <t>W47 LIDER EXPRESS - POP DULCE NAVIDAD (STOPPER)</t>
  </si>
  <si>
    <t>W47 HIPER LIDER - POP DULCE NAVIDAD (STOPPER)</t>
  </si>
  <si>
    <t>W47 HIPER LIDER - POP DULCE NAVIDAD (LATERAL CABECERA)</t>
  </si>
  <si>
    <t>W47 HIPER LIDER - POP DULCE NAVIDAD (REVESETIMIENTO)</t>
  </si>
  <si>
    <t>W47 ALVI - POP DULCE NAVIDAD (REVESETIMIENTO)</t>
  </si>
  <si>
    <t>W47 JUMBO - POP DULCE NAVIDAD (STOPPER MARCO PRECIO VIBRIN)</t>
  </si>
  <si>
    <t>W47 JUMBO - POP DULCE NAVIDAD (FLEJERA L)</t>
  </si>
  <si>
    <t>W47 JUMBO - POP DULCE NAVIDAD (ESQUINEROS)</t>
  </si>
  <si>
    <t>W47 SISA - POP DULCE NAVIDAD (STOPPER MARCO PRECIO VIBRIN)</t>
  </si>
  <si>
    <t>W47 SISA - POP DULCE NAVIDAD (FLEJERA L)</t>
  </si>
  <si>
    <t>W47 SISA - POP DULCE NAVIDAD (ESQUINEROS)</t>
  </si>
  <si>
    <t>W46 HIPER LIDER - BOTADEROS NAVIDAD(BOTADERO)</t>
  </si>
  <si>
    <t>W47 JUMBO - POP EXCELLA (STOPPER EXB 20X50 STOPPER EXUB 20X50 VIBRIN1 15X15 VIBRIN2 15X15 MARCO PRECIO FLEJERA 30X5)</t>
  </si>
  <si>
    <t>W47 UNIMARC - POP EXCELLA (STOPPER EXUB 15X30 STOPPER EXB 15X30 VIBRIN1 15X15 VIBRIN2 15X15 FLEJERA 30X5)</t>
  </si>
  <si>
    <t>W46 CRUZ VERDE - FARMACIA CRUZ VERDE (PAYLOADER)</t>
  </si>
  <si>
    <t>W46 CRUZ VERDE - STGO CRUZ VERDE (PAYLOADER)</t>
  </si>
  <si>
    <t>W48 UNIMARC - PAYLOADERS NAVIDAD (PAYLOADER TRENCITO)</t>
  </si>
  <si>
    <t>W48 UNIMARC - PAYLOADERS NAVIDAD (PAYLOADER SN)</t>
  </si>
  <si>
    <t>W48 UNIMARC - PAYLOADERS NAVIDAD (PAYLOADER GENERICO)</t>
  </si>
  <si>
    <t>W48 JUMBO - POP NDG DOLCE MIX (STOPPER)</t>
  </si>
  <si>
    <t>W52 SISA - POP CERELAC (STOPPER VIBRIN FLEJERA MARCO PRECIO)</t>
  </si>
  <si>
    <t>W52 SISA - POP CERELAC (BANDEJA)</t>
  </si>
  <si>
    <t>W52 SISA - POP CERELAC (GANCHERA)</t>
  </si>
  <si>
    <t>W47 SSRR - KAYAKS PLAN VERANO (KAYAK)</t>
  </si>
  <si>
    <t>W47 SSRR - RASPES PLAN VERANO (RASPES)</t>
  </si>
  <si>
    <t>W47 SSRR - POP PLAN VERANO (PENDON)</t>
  </si>
  <si>
    <t>W47 SSRR - POP PLAN VERANO (LOMO NAVE)</t>
  </si>
  <si>
    <t>W47 SSRR - POP PLAN VERANO (STOPPER)</t>
  </si>
  <si>
    <t>W47 SSRR - POP PLAN VERANO (CHUPON)</t>
  </si>
  <si>
    <t>W1 JUMBO - POP CAVERNÍCOLAS (STOPPER VIBRIN MARCO PRECIO)</t>
  </si>
  <si>
    <t>W1 JUMBO - POP CAVERNÍCOLAS (FLEJERA EN L)</t>
  </si>
  <si>
    <t>W1 SISA - POP CAVERNÍCOLAS (STOPPER VIBRIN MARCO PRECIO)</t>
  </si>
  <si>
    <t>W1 SISA - POP CAVERNÍCOLAS (FLEJERA EN L)</t>
  </si>
  <si>
    <t>W1 UNIMARC - POP CAVERNÍCOLAS (STOPPER VIBRIN)</t>
  </si>
  <si>
    <t>W1 SSRR - POP CAVERNÍCOLAS (FLEJERA EN L)</t>
  </si>
  <si>
    <t>W1 SSRR - POP CAVERNÍCOLAS (STOPPER GENERICO STOPPER PLAN VERANO VIBRIN PLAN VERANO)</t>
  </si>
  <si>
    <t>W50 UNIMARC - MUEBLES INNOVADORES CONFITES CAPRI (PAYLOADER )</t>
  </si>
  <si>
    <t>W50 UNIMARC - MUEBLES INNOVADORES CONFITES TRENCITO (PAYLOADER)</t>
  </si>
  <si>
    <t>W50 UNIMARC - MUEBLES INNOVADORES CONFITES MOROCHA (MUEBLE)</t>
  </si>
  <si>
    <t>W50 UNIMARC - VIBRIN NAVIDAD CHAMONIX (VIBRIN)</t>
  </si>
  <si>
    <t>W1 JUMBO - NIDO BUEN DÍA (STOPPER VIBRIN)</t>
  </si>
  <si>
    <t>W1 SISA - NIDO BUEN DÍA (STOPPER VIBRIN)</t>
  </si>
  <si>
    <t>W1 UNIMARC - NIDO BUEN DÍA (STOPPER VIBRIN)</t>
  </si>
  <si>
    <t>W1 JUMBO - NIDO 1,9 KG (FLEJERA EN L)</t>
  </si>
  <si>
    <t>W1 JUMBO - NIDO 1,9 KG (MARCO PRECIO STOPPER VIBRIN)</t>
  </si>
  <si>
    <t>W1 HIPER LIDER - NIDO 1,9 KG (MARCO PRECIO STOPPER)</t>
  </si>
  <si>
    <t>W1 UNIMARC - NIDO 1,9 KG (STOPPER)</t>
  </si>
  <si>
    <t>W1 HIPER LIDER - YOGOLINO (STOPPER)</t>
  </si>
  <si>
    <t>W1 LIDER EXPRESS - YOGOLINO (STOPPER)</t>
  </si>
  <si>
    <t>W1 HIPER LIDER - SVELTY (MARCO PRECIO STOPPER)</t>
  </si>
  <si>
    <t>W1 LIDER EXPRESS - SVELTY (MARCO PRECIO STOPPER)</t>
  </si>
  <si>
    <t>W1 JUMBO - SVELTY (FLEJERA EN L)</t>
  </si>
  <si>
    <t>W1 JUMBO - SVELTY (MARCO PRECIO STOPPER VIBRIN)</t>
  </si>
  <si>
    <t>W52 JUMBO - ESQUINERO MCKAY (ESQUINEROS)</t>
  </si>
  <si>
    <t>W52 SISA - ESQUINERO MCKAY (ESQUINEROS)</t>
  </si>
  <si>
    <t>W3 UNIMARC - VIBRIN GOODNES MIX (VIBRIN)</t>
  </si>
  <si>
    <t>W52 SISA - PAYLOADERS GALAK/TRENCITO/CRUNCH (PAYLOADER)</t>
  </si>
  <si>
    <t>W1 HIPER LIDER - PAYLOADERS MAGGI LISTA 1 (PAYLOADER SIN GRAFICA)</t>
  </si>
  <si>
    <t>W1 UNIMARC - PAYLOADER CAVERNÍCOLAS (PAYLOADER)</t>
  </si>
  <si>
    <t>W1 JUMBO - PAYLOADERS SAHNE NUSS(PAYLOADER)</t>
  </si>
  <si>
    <t>W4 SISA - BOTADEROS ALTEZA(BOTADERO)</t>
  </si>
  <si>
    <t>W4 SSRR - MUEBLES PLATANEROS(MUEBLE)</t>
  </si>
  <si>
    <t>W5 JUMBO - POP SAVORY SIN AZÚCAR (STOPPER MARCO PRECIO CHUPON1 CHUPON2)</t>
  </si>
  <si>
    <t>W5 JUMBO - POP SAVORY SIN AZÚCAR (FLEJERA L)</t>
  </si>
  <si>
    <t>W5 SISA - POP SAVORY SIN AZÚCAR (STOPPER MARCO PRECIO CHUPON1 CHUPON2)</t>
  </si>
  <si>
    <t>W5 SISA - POP SAVORY SIN AZÚCAR (FLEJERA L)</t>
  </si>
  <si>
    <t>W5 JUMBO - POP LA CREMERÍA (STOPPER MARCO PRECIO CHUPON)</t>
  </si>
  <si>
    <t>W5 JUMBO - POP LA CREMERÍA (FLEJERA L)</t>
  </si>
  <si>
    <t>W4 HIPER LIDER - MATERIAL SAVORY ALARMA DE HELADO (CUBREALARMA CHUPON)</t>
  </si>
  <si>
    <t>W3 HIPER LIDER - PAYLOADERS ALTEZA (PAYLOADER)</t>
  </si>
  <si>
    <t>W4 UNIMARC - CUBO AB NESCAFÉ (CUBO ANTIBRECHA)</t>
  </si>
  <si>
    <t>W4 CRUZ VERDE - MATERIAL FARMACIA (PAYLOADER)</t>
  </si>
  <si>
    <t>W4 CRUZ VERDE - MATERIAL FARMACIA (MICA ANTIBRECHA)</t>
  </si>
  <si>
    <t>W4 CRUZ VERDE - MATERIAL FARMACIA (DESCOLOCADOR DE ALARMAS)</t>
  </si>
  <si>
    <t>W4 CRUZ VERDE - MATERIAL FARMACIA (ALARMAS)</t>
  </si>
  <si>
    <t>W4 HIPER LIDER - POP NATURNES (REVESETIMIENTO LATERAL)</t>
  </si>
  <si>
    <t>W4 HIPER LIDER - POP NATURNES (STOPPER MARCO PRECIO)</t>
  </si>
  <si>
    <t>W5 SISA - PAYLOADERS MIXES (GRAFICA)</t>
  </si>
  <si>
    <t>W5 SISA - PAYLOADERS MIXES (PAYLOADER)</t>
  </si>
  <si>
    <t>W6 SSRR - LISTA SALAS PASCUA 2024(PAYLOADER)</t>
  </si>
  <si>
    <t>W6 UNIMARC - LISTA SALAS PASCUA 2024(PAYLOADER)</t>
  </si>
  <si>
    <t>W6 UNIMARC - LISTA SALAS PASCUA 2024(BOTADERO)</t>
  </si>
  <si>
    <t>W6 MAYORISTA 10 - LISTA SALAS PASCUA 2024(PAYLOADER)</t>
  </si>
  <si>
    <t>W6 MAYORISTA 10 - LISTA SALAS PASCUA 2024(BOTADERO)</t>
  </si>
  <si>
    <t>W6 ALVI - LISTA SALAS PASCUA 2024(PAYLOADER)</t>
  </si>
  <si>
    <t>W9 TOTTUS - LISTA SALAS PASCUA 2024(PAYLOADER)</t>
  </si>
  <si>
    <t>W6 OXXO - LISTA SALAS PASCUA 2024(CABECERA TIPO 4)</t>
  </si>
  <si>
    <t>W6 OXXO - LISTA SALAS PASCUA 2024(CABECERA TIPO 5)</t>
  </si>
  <si>
    <t>W6 OXXO - LISTA SALAS PASCUA 2024(CABECERA TIPO 6)</t>
  </si>
  <si>
    <t>W6 JUMBO - DÍA DE LOS ENAMORADOS (VIBRIN STOPPER )</t>
  </si>
  <si>
    <t>W6 JUMBO - DÍA DE LOS ENAMORADOS (BANDEJA EN L)</t>
  </si>
  <si>
    <t>W7 HIPER LIDER -  CATÁLOGO TRAFICO LISTA 2 (PAYLOADER)</t>
  </si>
  <si>
    <t>W7 HIPER LIDER -  CATÁLOGO TRAFICO LISTA 2 (REVESETIMIENTO)</t>
  </si>
  <si>
    <t>W7 ACUENTA -  CATÁLOGO TRAFICO LISTA 2 (PAYLOADER)</t>
  </si>
  <si>
    <t>W7 UNIMARC - GALLETAS Y CHOCOLATES LISTA 2 (REVESTIMIENTO ISLA CRIOLLITA)</t>
  </si>
  <si>
    <t>W7 UNIMARC - GALLETAS Y CHOCOLATES LISTA 2 (PAYLOADER)</t>
  </si>
  <si>
    <t>W7 UNIMARC - GALLETAS Y CHOCOLATES LISTA 2 (REVESTIMIENTO ISLA TRITON)</t>
  </si>
  <si>
    <t>W7 SSRR - TRITÓN CONCURSO LOLLAPALOOZA(BUZON)</t>
  </si>
  <si>
    <t>W7 SSRR - TRITÓN CONCURSO LOLLAPALOOZA(PAYLOADER)</t>
  </si>
  <si>
    <t>W7 SSRR - TRITÓN CONCURSO LOLLAPALOOZA(REV LATERAL CABECERA)</t>
  </si>
  <si>
    <t>W7 SSRR - TRITÓN CONCURSO LOLLAPALOOZA(PENDON)</t>
  </si>
  <si>
    <t>W7 SSRR - TRITÓN CONCURSO LOLLAPALOOZA(BANDEJA EN L)</t>
  </si>
  <si>
    <t>W7 SSRR - TRITÓN CONCURSO LOLLAPALOOZA(STOPPER VIBRIN MARCO DE PRECIO)</t>
  </si>
  <si>
    <t>W7 HIPER LIDER - POP MILO (CUBREPALLET)</t>
  </si>
  <si>
    <t>W7 LIDER EXPRESS - POP MILO (REVESTIMIENTOLATERAL)</t>
  </si>
  <si>
    <t>W7 CRUZ VERDE - MATERIAL PENDIENTE (PAYLOADER)</t>
  </si>
  <si>
    <t>W4 HIPER LIDER - ALARMA FÓRMULA (ALARMAS)</t>
  </si>
  <si>
    <t>W4 LIDER EXPRESS - ALARMA FÓRMULA (ALARMAS)</t>
  </si>
  <si>
    <t>W5 JUMBO - POP NESCAFÉ FS DECAF (STOPPER)</t>
  </si>
  <si>
    <t>W5 JUMBO - POP NESCAFÉ FS DECAF (BANDEJA L)</t>
  </si>
  <si>
    <t>W8 SISA - TRITÓN CONCURSO LOLLAPALOOZA(PAYLOADER)</t>
  </si>
  <si>
    <t>W7 ACUENTA - PAYLOADERS SAHNE NUSS (PAYLOADER)</t>
  </si>
  <si>
    <t>W8 SSRR - NATURNES CONCURSO (CUATRICICLO)</t>
  </si>
  <si>
    <t>W8 SSRR - NATURNES CONCURSO (PAYLOADER)</t>
  </si>
  <si>
    <t>W8 SSRR - NATURNES CONCURSO (STOPPER VIBRIN MARCO PRECIO)</t>
  </si>
  <si>
    <t>W8 SSRR - NATURNES CONCURSO (BANDEJA EN L)</t>
  </si>
  <si>
    <t>W8 SSRR - NATURNES CONCURSO (PENDON)</t>
  </si>
  <si>
    <t>W9 SISA - PAYLOADERS MAGGI (PAYLOADER)</t>
  </si>
  <si>
    <t>W9 JUMBO - MILO BTS (STOPPER)</t>
  </si>
  <si>
    <t>W9 JUMBO - MILO BTS (FLEJERA)</t>
  </si>
  <si>
    <t>W9 SISA - MILO BTS (STOPPER)</t>
  </si>
  <si>
    <t>W9 SISA - MILO BTS (FLEJERA)</t>
  </si>
  <si>
    <t>W9 SISA - MILO BTS (PAYLOADER)</t>
  </si>
  <si>
    <t>W9 SISA - MILO BTS (ESQUINEROS)</t>
  </si>
  <si>
    <t>W11 HIPER LIDER - ISLAS NESTLÉ RENUEVA TU CASA (ISLA)</t>
  </si>
  <si>
    <t>W10 SISA - REEMPLAZO GRÁFICA TRITÓN  LOLLAPALOOZA(LATERAL FLEJERA CENEFA KIT TARUGOS)</t>
  </si>
  <si>
    <t>W11 UNIMARC - PAYLOADERS MILO GALLETAS(PAYLOADER)</t>
  </si>
  <si>
    <t>W12 SSRR -  NIDO BTS (REVESTIMIENTO ISLA)</t>
  </si>
  <si>
    <t>W12 SSRR -  NIDO BTS (REVESTIMIENTO LATERAL)</t>
  </si>
  <si>
    <t>W12 SSRR -  NIDO BTS (PAYLOADER)</t>
  </si>
  <si>
    <t>W12 SSRR -  NIDO BTS (STOPPER)</t>
  </si>
  <si>
    <t>W11 UNIMARC - NIDO BTS (REVESTIMIENTO CABECERA)</t>
  </si>
  <si>
    <t>W12 SSRR - CORRIDA MILO TEMUCO (REVESTIMIENTO LATERAL)</t>
  </si>
  <si>
    <t>W12 SSRR - CORRIDA MILO TEMUCO (PAYLOADER)</t>
  </si>
  <si>
    <t>W12 SSRR - CORRIDA MILO TEMUCO (STOPPER VIBRIN)</t>
  </si>
  <si>
    <t>W13 JUMBO - GANCHERAS NESTUM (GANCHERA)</t>
  </si>
  <si>
    <t>W13 HIPER LIDER - PAYLOADERS AGUA DE COCO (GRAFICA)</t>
  </si>
  <si>
    <t>W13 HIPER LIDER - PAYLOADERS AGUA DE COCO (PAYLOADER)</t>
  </si>
  <si>
    <t>W14 HIPER LIDER - NESTUM RELEVANCE (STOPPER)</t>
  </si>
  <si>
    <t>W14 LIDER EXPRESS - NESTUM RELEVANCE (STOPPER)</t>
  </si>
  <si>
    <t>W16 HIPER LIDER - CAMPAÑA TRENCITO(HOTSPOT)</t>
  </si>
  <si>
    <t>W16 HIPER LIDER - CAMPAÑA TRENCITO(PAYLOADER)</t>
  </si>
  <si>
    <t>W16 LIDER EXPRESS - CAMPAÑA TRENCITO(PAYLOADER)</t>
  </si>
  <si>
    <t>W16 HIPER LIDER - PAYLOADER NIDO L3 SG (PAYLOADER)</t>
  </si>
  <si>
    <t>W16 UNIMARC - MATERIALES NIDO YOGOLINO (MARCO PRECIO STOPPER)</t>
  </si>
  <si>
    <t>W16 TOTTUS - MATERIALES NIDO YOGOLINO (MARCO PRECIO STOPPER VIBRIN)</t>
  </si>
  <si>
    <t>W20 UNIMARC - APOYO CATÁLOGO ABRIL SMU (PAYLOADER)</t>
  </si>
  <si>
    <t>W20 MAYORISTA 10 - APOYO CATÁLOGO ABRIL SMU (REVESTIMIENTO)</t>
  </si>
  <si>
    <t>W16 HIPER LIDER - LISTA 3 LCA (PAYLOADER)</t>
  </si>
  <si>
    <t>W16 HIPER LIDER - LISTA 3 ESPECIALIDADES (PAYLOADER)</t>
  </si>
  <si>
    <t>W17 TOTTUS - MATERIAL NAN OPTIPRO (MARCO PRECIO VIBRIN)</t>
  </si>
  <si>
    <t>W17 HIPER LIDER - MATERIAL NAN OPTIPRO (MARCO PRECIO VIBRIN)</t>
  </si>
  <si>
    <t>W17 LIDER EXPRESS - MATERIAL NAN OPTIPRO (MARCO PRECIO VIBRIN)</t>
  </si>
  <si>
    <t>W17 JUMBO - MATERIAL NAN OPTIPRO (MARCO PRECIO VIBRIN)</t>
  </si>
  <si>
    <t>W16 HIPER LIDER - CAMPAÑA TRENCITO(ISLA)</t>
  </si>
  <si>
    <t>W18 JUMBO - GANCHERA NIDO NUTRI ESENCIAL (GANCHERA)</t>
  </si>
  <si>
    <t>W18 SISA - GANCHERA NIDO NUTRI ESENCIAL (GANCHERA)</t>
  </si>
  <si>
    <t>W22 UNIMARC - CAMPAÑA TRENCITO (ISLA)</t>
  </si>
  <si>
    <t>W22 UNIMARC - CAMPAÑA TRENCITO (REVESTIMIENTO CABECERA)</t>
  </si>
  <si>
    <t>W22 UNIMARC - CAMPAÑA TRENCITO (PAYLOADER)</t>
  </si>
  <si>
    <t>W21 TOTTUS - CAMPAÑA TRENCITO (ISLA)</t>
  </si>
  <si>
    <t>W21 TOTTUS - CAMPAÑA TRENCITO (HOTSPOT)</t>
  </si>
  <si>
    <t>W21 TOTTUS - CAMPAÑA TRENCITO (PAYLOADER)</t>
  </si>
  <si>
    <t>W20 JUMBO - MATERIALES NIDO NUTRI ESENCIAL (MARCO PRECIO VIBRIN)</t>
  </si>
  <si>
    <t>W20 SISA - MATERIALES NIDO NUTRI ESENCIAL (MARCO PRECIO VIBRIN)</t>
  </si>
  <si>
    <t>W21 HIPER LIDER - PAYLOADER CORRIDA MILO SANTIAGO (PAYLOADER)</t>
  </si>
  <si>
    <t>W21 SISA - PAYLOADER CORRIDA MILO SANTIAGO (PAYLOADER)</t>
  </si>
  <si>
    <t>W21 UNIMARC - ARCO Y PODIO CORRIDA MILO SANTIAGO (PODIO)</t>
  </si>
  <si>
    <t>W21 TOTTUS - ARCO Y PODIO CORRIDA MILO SANTIAGO (PODIO)</t>
  </si>
  <si>
    <t>W21 TOTTUS - ARCO Y PODIO CORRIDA MILO SANTIAGO (ARCO)</t>
  </si>
  <si>
    <t>W21 HIPER LIDER - MATERIALES NIDO BAJA DE PRECIOS (STOPPER)</t>
  </si>
  <si>
    <t>W21 LIDER EXPRESS - MATERIALES NIDO BAJA DE PRECIOS (STOPPER)</t>
  </si>
  <si>
    <t>W22 JUMBO - MATERIALES NIDO ETAPAS BAJA DE PRECIO (MARCO PRECIO VIBRIN )</t>
  </si>
  <si>
    <t>W22 JUMBO - MATERIALES NIDO ETAPAS BAJA DE PRECIO (BANDEJA EN L)</t>
  </si>
  <si>
    <t>W22 SISA - MATERIALES NIDO ETAPAS BAJA DE PRECIO (MARCO PRECIO VIBRIN )</t>
  </si>
  <si>
    <t>W22 SISA - MATERIALES NIDO ETAPAS BAJA DE PRECIO (BANDEJA EN L)</t>
  </si>
  <si>
    <t>W22 HIPER LIDER -  TOTEM CORRIDA MILO (TOTEM)</t>
  </si>
  <si>
    <t>W22 LIDER EXPRESS -  TOTEM CORRIDA MILO (TOTEM)</t>
  </si>
  <si>
    <t>W22 JUMBO -  TOTEM CORRIDA MILO (TOTEM)</t>
  </si>
  <si>
    <t>W22 SISA -  TOTEM CORRIDA MILO (TOTEM)</t>
  </si>
  <si>
    <t>W22 TOTTUS -  TOTEM CORRIDA MILO (TOTEM)</t>
  </si>
  <si>
    <t>W22 UNIMARC -  TOTEM CORRIDA MILO (TOTEM)</t>
  </si>
  <si>
    <t>W22 ACUENTA - PAYLOADER TRENCITO(PAYLOADER)</t>
  </si>
  <si>
    <t>W23 JUMBO - PAYLOADERS TRENCITO/SAHNE NUSS (PAYLOADER)</t>
  </si>
  <si>
    <t>W22 TOTTUS - MATERIALES NIDO NUTRI ESENCIAL (MARCO PRECIO VIBRIN STOPPER)</t>
  </si>
  <si>
    <t>W22 TOTTUS - MATERIALES NIDO NUTRI ESENCIAL (BANDEJA EN L)</t>
  </si>
  <si>
    <t>W22 SISA - MAGGI JUNIO JULIO (PAYLOADER)</t>
  </si>
  <si>
    <t>W22 SISA - MAGGI JUNIO JULIO (FLEJERA)</t>
  </si>
  <si>
    <t>W23 JUMBO - NESTUM (VIBRIN)</t>
  </si>
  <si>
    <t>W23 SISA - NESTUM (VIBRIN)</t>
  </si>
  <si>
    <t>W23 TOTTUS - NESTUM (BANDEJA EN L)</t>
  </si>
  <si>
    <t>W24 JUMBO - GANCHERAS NIDO ETAPAS BAJA DE PRECIO (GANCHERA)</t>
  </si>
  <si>
    <t>W26 SSRR - CAMPAÑA TRENCITO REGIONALES(ISLA)</t>
  </si>
  <si>
    <t>W26 SSRR - CAMPAÑA TRENCITO REGIONALES(PAYLOADER)</t>
  </si>
  <si>
    <t>W26 SSRR - CAMPAÑA TRENCITO REGIONALES(REVESTIMIENTO LATERAL)</t>
  </si>
  <si>
    <t>W26 SSRR - CAMPAÑA TRENCITO REGIONALES(FLEJERA)</t>
  </si>
  <si>
    <t>W24 SISA - GANCHERAS NIDO ETAPAS BAJA DE PRECIO (GANCHERA)</t>
  </si>
  <si>
    <t>W24 UNIMARC - MATERIALES ETAPAS BAJA DE PRECIO (MARCO PRECIO VIBRIN STOPPER)</t>
  </si>
  <si>
    <t>W24 UNIMARC - MATERIALES ETAPAS BAJA DE PRECIO (BANDEJA EN L)</t>
  </si>
  <si>
    <t>W24 HIPER LIDER - CABECERAS REFRIGERADOS (LATERAL CABECERA)</t>
  </si>
  <si>
    <t>W24 UNIMARC - MATERIALES NIDO YOGOLINO (VIBRIN MANZANA VIBRIN PERA MARCO PRECIO)</t>
  </si>
  <si>
    <t>W24 UNIMARC - MATERIALES NIDO YOGOLINO (BANDEJA EN L)</t>
  </si>
  <si>
    <t>W24 TOTTUS - MATERIALES NIDO YOGOLINO (VIBRIN MANZANA VIBRIN PERA MARCO PRECIO STOPPER)</t>
  </si>
  <si>
    <t>W24 TOTTUS - MATERIALES NIDO YOGOLINO (BANDEJA EN L)</t>
  </si>
  <si>
    <t>W24 HIPER LIDER - MATERIALES NIDO YOGOLINO (MARCO PRECIO )</t>
  </si>
  <si>
    <t>W24 HIPER LIDER - MATERIALES NIDO YOGOLINO (BANDEJA EN L)</t>
  </si>
  <si>
    <t>W24 LIDER EXPRESS - MATERIALES NIDO YOGOLINO (MARCO PRECIO )</t>
  </si>
  <si>
    <t>W24 LIDER EXPRESS - MATERIALES NIDO YOGOLINO (BANDEJA EN L)</t>
  </si>
  <si>
    <t>W24 SSRR - CONCURSO NATURNES (TRICICLO)</t>
  </si>
  <si>
    <t>W24 SSRR - CONCURSO NATURNES (BUZON)</t>
  </si>
  <si>
    <t>W24 SSRR - CONCURSO NATURNES (PAYLOADER)</t>
  </si>
  <si>
    <t>W24 SSRR - CONCURSO NATURNES (FLEJERA EN L)</t>
  </si>
  <si>
    <t>W24 SSRR - CONCURSO NATURNES (STOPPER VIBRIN MARCO PRECIO)</t>
  </si>
  <si>
    <t>W24 SSRR - CONCURSO NATURNES (TOTEM)</t>
  </si>
  <si>
    <t>W25 HIPER LIDER - PAYLOADER MILO LISTA 4(PAYLOADER)</t>
  </si>
  <si>
    <t>W25 HIPER LIDER - PAYLOADER NIDO LISTA 4 (PAYLOADER)</t>
  </si>
  <si>
    <t>W25 UNIMARC - CATÁLOGO JUNIO (REVESTIMIENTO KUKY)</t>
  </si>
  <si>
    <t>W25 UNIMARC - CATÁLOGO JUNIO (REVESTIMIENTO CRIOLLITA)</t>
  </si>
  <si>
    <t>W25 UNIMARC - CATÁLOGO JUNIO (MINI PAYLOADER)</t>
  </si>
  <si>
    <t>W26 SSRR - MATERIAL POP CONCURSO NESCAFE (BUZON)</t>
  </si>
  <si>
    <t>W26 SSRR - MATERIAL POP CONCURSO NESCAFE (STOPPER VIBRIN)</t>
  </si>
  <si>
    <t>W26 SSRR - MATERIAL POP CONCURSO NESCAFE (BANDEJA EN L)</t>
  </si>
  <si>
    <t>W26 SSRR - MATERIAL POP CONCURSO NESCAFE (CUPONES)</t>
  </si>
  <si>
    <t>W26 SSRR - MATERIAL POP CONCURSO MAGGI (BUZON)</t>
  </si>
  <si>
    <t>W26 SSRR - MATERIAL POP CONCURSO MAGGI (STOPPER VIBRIN)</t>
  </si>
  <si>
    <t>W26 SSRR - MATERIAL POP CONCURSO MAGGI (BANDEJA EN L)</t>
  </si>
  <si>
    <t>W26 SSRR - MATERIAL POP CONCURSO MAGGI (CUPONES)</t>
  </si>
  <si>
    <t>W26 SSRR - MATERIAL POP CONCURSO NESCAFE (ISLA)</t>
  </si>
  <si>
    <t>W25 HIPER LIDER - LISTA 4 PAYLOADERS SN TRENCITO (PAYLOADER)</t>
  </si>
  <si>
    <t>W26 JUMBO - STOPPERS BOMBONES(STOPPER)</t>
  </si>
  <si>
    <t>W26 SSRR - MATERIAL POP CONCURSO MAGGI (ISLA)</t>
  </si>
  <si>
    <t>W26 SSRR - HOTSPOT TRENCITO (HOTSPOT)</t>
  </si>
  <si>
    <t>W27 HIPER LIDER - CONCURSO SAHNENUSS 100 AÑOS (METRO TREND)</t>
  </si>
  <si>
    <t>W27 HIPER LIDER - CONCURSO SAHNENUSS 100 AÑOS (ISLA)</t>
  </si>
  <si>
    <t>W27 HIPER LIDER - CONCURSO SAHNENUSS 100 AÑOS (STOPPER)</t>
  </si>
  <si>
    <t>W28 JUMBO - GANCHERAS MILO (GANCHERA)</t>
  </si>
  <si>
    <t>W28 SISA - GANCHERAS MILO (GANCHERA)</t>
  </si>
  <si>
    <t>W29 HIPER LIDER - RECETAS NESTLÉ (ISLA)</t>
  </si>
  <si>
    <t>W28 TOTTUS - MATERIALES NIDO 300G (MARCO PRECIO VIBRIN STOPPER)</t>
  </si>
  <si>
    <t>W28 TOTTUS - MATERIALES NIDO 300G (FLEJERA EN L)</t>
  </si>
  <si>
    <t>W28 TOTTUS - MATERIALES SVELTY 300G (MARCO PRECIO VIBRIN STOPPER)</t>
  </si>
  <si>
    <t>W28 TOTTUS - MATERIALES SVELTY 300G (FLEJERA EN L)</t>
  </si>
  <si>
    <t>W29 HIPER LIDER - MES DE LA DULZURA (ISLA)</t>
  </si>
  <si>
    <t>W30 HIPER LIDER - MATERIAL LA CREMERÍA (HUINCHA COOLER)</t>
  </si>
  <si>
    <t>W30 HIPER LIDER - MATERIAL LA CREMERÍA (CHUPON)</t>
  </si>
  <si>
    <t>W30 HIPER LIDER - MATERIAL LA CREMERÍA (SEPARADOR XL)</t>
  </si>
  <si>
    <t>W30 HIPER LIDER - MATERIAL LA CREMERÍA (COLGANTE)</t>
  </si>
  <si>
    <t>W30 HIPER LIDER - MATERIAL BEBIDA ORIGINAL NH (PAYLOADER)</t>
  </si>
  <si>
    <t>W30 HIPER LIDER - MATERIAL BEBIDA ORIGINAL NH (STOPPER)</t>
  </si>
  <si>
    <t>W30 JUMBO - TRENCITO (REVESTIMIENTO LATERAL)</t>
  </si>
  <si>
    <t>W30 JUMBO - TRENCITO (ISLA)</t>
  </si>
  <si>
    <t>W30 JUMBO - TRENCITO (GANCHERA)</t>
  </si>
  <si>
    <t>W30 HIPER LIDER - PAYLOADER NIDO NUTRI ESENCIAL (PAYLOADER)</t>
  </si>
  <si>
    <t>W31 SISA - DULCE GUSTITO (BOTADERO)</t>
  </si>
  <si>
    <t>W31 SISA - DULCE GUSTITO (PEDESTAL)</t>
  </si>
  <si>
    <t>W29 HIPER LIDER - MES DE LA DULZURA (PAYLOADER)</t>
  </si>
  <si>
    <t>W30 HIPER LIDER -  REVESTIMIENTO NIDO 300G (REVESTIMIENTO)</t>
  </si>
  <si>
    <t>W30 HIPER LIDER -  REVESTIMIENTO SVELTY 300G (REVESTIMIENTO)</t>
  </si>
  <si>
    <t>W35 SSRR - DULCE CHILENIDAD (REVESTIMIENTO)</t>
  </si>
  <si>
    <t>W35 SSRR - DULCE CHILENIDAD (LATERAL DE CABECERA)</t>
  </si>
  <si>
    <t>W35 SSRR - DULCE CHILENIDAD (PAYLOADER)</t>
  </si>
  <si>
    <t>W34 UNIMARC - CHANDELLE (CHUPON)</t>
  </si>
  <si>
    <t>W35 JUMBO - NESCAFÉ MIXES (GANCHERA)</t>
  </si>
  <si>
    <t>W35 TOTTUS - NESCAFÉ MIXES (STOPPER)</t>
  </si>
  <si>
    <t>W34 UNIMARC - NESCAFÉ MIXES (GANCHERA)</t>
  </si>
  <si>
    <t>W34 UNIMARC - NESCAFÉ MIXES (STOPPER)</t>
  </si>
  <si>
    <t>W33 HIPER LIDER - NESCAFÉ MIXES (STOPPER)</t>
  </si>
  <si>
    <t>W33 HIPER LIDER - NESCAFÉ MIXES (METRO TREND)</t>
  </si>
  <si>
    <t>W33 LIDER EXPRESS - NESCAFÉ MIXES (STOPPER)</t>
  </si>
  <si>
    <t>W33 LIDER EXPRESS - NESCAFÉ MIXES (METRO TREND)</t>
  </si>
  <si>
    <t>W32 JUMBO - PLAN PIÑA (VIBRIN)</t>
  </si>
  <si>
    <t>W32 SISA - PLAN PIÑA (VIBRIN)</t>
  </si>
  <si>
    <t>W32 SISA - PLAN PIÑA (LOMO NAVE)</t>
  </si>
  <si>
    <t>W33 UNIMARC - PLAN PIÑA (STOPPER VIBRIN)</t>
  </si>
  <si>
    <t>W34 SSRR - PLAN PIÑA (PREMIO)</t>
  </si>
  <si>
    <t>W34 SSRR - PLAN PIÑA (PENDON)</t>
  </si>
  <si>
    <t>W34 SSRR - PLAN PIÑA (STOPPER VIBRIN)</t>
  </si>
  <si>
    <t>W34 SSRR - PLAN PIÑA (LOMO NAVE)</t>
  </si>
  <si>
    <t>W35 TOTTUS - PLAN PIÑA (STOPPER)</t>
  </si>
  <si>
    <t>W35 TOTTUS - PLAN PIÑA (ARCO)</t>
  </si>
  <si>
    <t>W35 TOTTUS - PLAN PIÑA (CUBREALARMA)</t>
  </si>
  <si>
    <t>W35 TOTTUS - PLAN PIÑA (VIBRIN)</t>
  </si>
  <si>
    <t>W33 HIPER LIDER - PLAN PIÑA (STOPPER SAVORY)</t>
  </si>
  <si>
    <t>W33 HIPER LIDER - PLAN PIÑA (STOPPER CHAMONIX)</t>
  </si>
  <si>
    <t>W33 HIPER LIDER - PLAN PIÑA (LATERAL CABECERA)</t>
  </si>
  <si>
    <t>W39 TOTTUS - DULCE CHILENIDAD (REVESTIMIENTO)</t>
  </si>
  <si>
    <t>W39 MAYORISTA 10 - DULCE CHILENIDAD (REVESTIMIENTO)</t>
  </si>
  <si>
    <t>W39 ALVI - DULCE CHILENIDAD (REVESTIMIENTO)</t>
  </si>
  <si>
    <t>W35 SSRR - NIDO 300G (VIBRIN MARCO PRECIO)</t>
  </si>
  <si>
    <t>W35 SSRR - NIDO 300G (BANDEJA EN L)</t>
  </si>
  <si>
    <t>W35 HIPER LIDER - LISTA 5 NIDO (PAYLOADER)</t>
  </si>
  <si>
    <t>W30 SSRR - MATERIALES NIDO YOGOLINO (VIBRIN MANZANA  VIBRIN PERA MARCO PRECIO STOPPER)</t>
  </si>
  <si>
    <t>W30 SSRR - MATERIALES NIDO YOGOLINO (BANDEJA EN L)</t>
  </si>
  <si>
    <t>W30 SSRR - MATERIALES NIDO 300G (MARCO PRECIO VIBRIN STOPPER)</t>
  </si>
  <si>
    <t>W30 SSRR - MATERIALES NIDO 300G (FLEJERA EN L)</t>
  </si>
  <si>
    <t>W28 SSRR - MATERIALES SVELTY 300G (VIBRIN STOPPER MARCO PRECIO)</t>
  </si>
  <si>
    <t>W28 SSRR - MATERIALES SVELTY 300G (FLEJERA EN L)</t>
  </si>
  <si>
    <t>W29 SSRR - MATERIALES NIDO NUTRI ESENCIAL (VIBRIN MARCO PRECIO STOPPER)</t>
  </si>
  <si>
    <t>W29 SSRR - MATERIALES NIDO NUTRI ESENCIAL (FLEJERA EN L)</t>
  </si>
  <si>
    <t>W29 SSRR - MATERIALES NIDO NUTRI ESENCIAL (GANCHERA)</t>
  </si>
  <si>
    <t>W36 UNIMARC -  FLEJERAS MILO (BANDEJA EN L)</t>
  </si>
  <si>
    <t>W36 JUMBO -  FLEJERAS MILO (BANDEJA EN L)</t>
  </si>
  <si>
    <t>W36 SISA -  FLEJERAS MILO (BANDEJA EN L)</t>
  </si>
  <si>
    <t>W36 TOTTUS -  FLEJERAS MILO (BANDEJA EN L)</t>
  </si>
  <si>
    <t>W36 SSRR - MILO INSTITUCIONAL (BANDEJA EN L)</t>
  </si>
  <si>
    <t>W36 SSRR - MILO INSTITUCIONAL (PAYLOADER)</t>
  </si>
  <si>
    <t>W36 SSRR - MILO INSTITUCIONAL (GANCHERA)</t>
  </si>
  <si>
    <t>W36 TOTTUS - NIDO CHOCOLATE (MARCO PRECIO VIBRIN STOPPER)</t>
  </si>
  <si>
    <t>W36 TOTTUS - NIDO CHOCOLATE (BANDEJA EN L)</t>
  </si>
  <si>
    <t>W41 UNIMARC - SVELTY SEMI DESCREMADA (STOPPER VIBRIN MARCO PRECIO)</t>
  </si>
  <si>
    <t>W41 UNIMARC - SVELTY SEMI DESCREMADA (FLEJERA EN L)</t>
  </si>
  <si>
    <t>W41 TOTTUS - SVELTY SEMI DESCREMADA (STOPPER VIBRIN MARCO PRECIO)</t>
  </si>
  <si>
    <t>W41 TOTTUS - SVELTY SEMI DESCREMADA (FLEJERA EN L)</t>
  </si>
  <si>
    <t>W39 UNIMARC - GANCHERAS MAGGI (GANCHERA)</t>
  </si>
  <si>
    <t>W43 UNIMARC - CUBRE PALLETS KUKY (CUBREPALLET)</t>
  </si>
  <si>
    <t>W43 UNIMARC - CUBRE PALLETS CRIOLLITAS (CUBREPALLET)</t>
  </si>
  <si>
    <t>W40 JUMBO - GANCHERAS MAGGI (GANCHERA)</t>
  </si>
  <si>
    <t>W40 JUMBO - GANCHERAS MAGGI (STICKER)</t>
  </si>
  <si>
    <t>W40 SISA - GANCHERAS MAGGI (GANCHERA STICKER QR)</t>
  </si>
  <si>
    <t>W39 ALVI - HALLOWEEN (PEDESTAL)</t>
  </si>
  <si>
    <t>W39 ALVI - HALLOWEEN (BOTADERO)</t>
  </si>
  <si>
    <t>W39 MAYORISTA 10 - HALLOWEEN (BOTADERO)</t>
  </si>
  <si>
    <t>W39 SUPER 10 - HALLOWEEN (BOTADERO)</t>
  </si>
  <si>
    <t>W39 UNIMARC - HALLOWEEN (PEDESTAL)</t>
  </si>
  <si>
    <t>W39 UNIMARC - HALLOWEEN (BOTADERO)</t>
  </si>
  <si>
    <t>W39 SISA - HALLOWEEN (BOTADERO)</t>
  </si>
  <si>
    <t>W39 JUMBO - HALLOWEEN (BOTADERO)</t>
  </si>
  <si>
    <t>W40 SISA - PAYLOADERS MAGGI (PAYLOADERS)</t>
  </si>
  <si>
    <t>W41 HIPER LIDER - NESCAFÉ NUEVA IMAGEN (COLGANTE)</t>
  </si>
  <si>
    <t>W41 HIPER LIDER - NESCAFÉ NUEVA IMAGEN (METRO TREND)</t>
  </si>
  <si>
    <t>W41 HIPER LIDER - NESCAFÉ NUEVA IMAGEN (SEPARADOR XL)</t>
  </si>
  <si>
    <t>W41 HIPER LIDER - LISTA 6 CHOCOLATES SN/TRENCITO (PAYLOADER)</t>
  </si>
  <si>
    <t>W41 ACUENTA - LISTA 6 BOTADERO GALLETAS MINI (BOTADERO)</t>
  </si>
  <si>
    <t>W36 SSRR -  MILO INSTITUCIONAL ADICIONAL(BANDEJA EN L)</t>
  </si>
  <si>
    <t>W39 SSRR - NIDO CHOCOLATE (VIBRIN 12X12 VIBRIN 15X30 MARCO PRECIO)</t>
  </si>
  <si>
    <t>W39 SSRR - NIDO CHOCOLATE (FLEJERA EN L)</t>
  </si>
  <si>
    <t>W39 SSRR - NIDO CHOCOLATE (PAYLOADER)</t>
  </si>
  <si>
    <t>W36 TOTTUS - FLEJERAS MILO (BANDEJA EN L)</t>
  </si>
  <si>
    <t>W41 HIPER LIDER - PAYLOADERS NATURES HEART L6 (PAYLOADER)</t>
  </si>
  <si>
    <t>W41 HIPER LIDER - NIDO CHOCOLATE L6 (PAYLOADER)</t>
  </si>
  <si>
    <t>W41 HIPER LIDER - NIDO L6 (PAYLOADER)</t>
  </si>
  <si>
    <t>W41 HIPER LIDER - PAYLOADERS CULINARIOS L6 (PAYLOADER)</t>
  </si>
  <si>
    <t>W42 UNIMARC - NUTRI ESENCIAL (FLEJERA EN L)</t>
  </si>
  <si>
    <t>W42 UNIMARC - NUTRI ESENCIAL (MARCO PRECIO VIBRIN STOPPER)</t>
  </si>
  <si>
    <t>W42 SSRR - CONCURSO NATURNES (TOTEM)</t>
  </si>
  <si>
    <t>W42 SSRR - CONCURSO NATURNES (FLEJERA EN L)</t>
  </si>
  <si>
    <t>W42 SSRR - CONCURSO NATURNES (STOPPER VIBRIN MARCO PRECIO)</t>
  </si>
  <si>
    <t>W42 SSRR - CONCURSO NATURNES (PAYLOADER)</t>
  </si>
  <si>
    <t>W42 SSRR - CONCURSO NATURNES (BUZON)</t>
  </si>
  <si>
    <t>W42 SSRR - CONCURSO NATURNES (TRICICLO)</t>
  </si>
  <si>
    <t>W44 SISA - PAYLOADERS TRITON (PAYLOADER)</t>
  </si>
  <si>
    <t>W41 HIPER LIDER - REVEST. CABECERAS PINTAS (CABECERA)</t>
  </si>
  <si>
    <t>W41 SISA -  NESCAFÉ NUEVA IMAGEN (GANCHERA)</t>
  </si>
  <si>
    <t>W41 JUMBO -  NESCAFÉ NUEVA IMAGEN (GANCHERA)</t>
  </si>
  <si>
    <t>W47 HIPER LIDER - TRITON (CUBREALARMA HOMBRE)</t>
  </si>
  <si>
    <t>W47 HIPER LIDER - TRITON (CUBREALARMA MUJER)</t>
  </si>
  <si>
    <t>W47 HIPER LIDER - TRITON (METRO TREND)</t>
  </si>
  <si>
    <t>W47 UNIMARC - CATÁLOGO DIC SAHNE NUSS (PAYLOADER)</t>
  </si>
  <si>
    <t>W47 UNIMARC - CATÁLOGO DIC CHOKITA  (PAYLOADER)</t>
  </si>
  <si>
    <t>W46 ALVI - MUEBLES NAVIDAD (BOTADERO)</t>
  </si>
  <si>
    <t>W46 ALVI - MUEBLES NAVIDAD (PEDESTAL)</t>
  </si>
  <si>
    <t>W46 M10 - MUEBLES NAVIDAD (PEDESTAL)</t>
  </si>
  <si>
    <t>W46 M10 - MUEBLES NAVIDAD (BOTADERO)</t>
  </si>
  <si>
    <t>W46 UNIMARC - MUEBLES NAVIDAD (PEDESTAL)</t>
  </si>
  <si>
    <t>W46 UNIMARC - MUEBLES NAVIDAD (BOTADERO)</t>
  </si>
  <si>
    <t>W46 S10 - MUEBLES NAVIDAD (PEDESTAL)</t>
  </si>
  <si>
    <t>W46 S10 - MUEBLES NAVIDAD (BOTADERO)</t>
  </si>
  <si>
    <t>W47 TOTTUS -  STOPPER SAHNE NUSS (STOPPER)</t>
  </si>
  <si>
    <t>W47 HIPER LIDER - PAYLOADER SAHNE NUSS NAVIDAD (PAYLOADER)</t>
  </si>
  <si>
    <t>W48 JUMBO - POP MEGA TRÍO (VIBRIN)</t>
  </si>
  <si>
    <t>W47 HIPER LIDER - POP MEGA TRÍO (SEPARADOR XL)</t>
  </si>
  <si>
    <t>W47 HIPER LIDER - POP MEGA TRÍO (LATERAL CABECERA)</t>
  </si>
  <si>
    <t>W47 HIPER LIDER - POP MEGA TRÍO (COLGANTE)</t>
  </si>
  <si>
    <t>W47 HIPER LIDER - PAYLOADER L6 NIDO ETAPA 2 (PAYLOADER)</t>
  </si>
  <si>
    <t>W47 HIPER LIDER - MILO L6 (PAYLOADER)</t>
  </si>
  <si>
    <t>W47 HIPER LIDER - EXHIBICIONES BOMBILLINES LISTA 6 ETAPA 2 MILO SIN LACTOSA (MINICABECERA)</t>
  </si>
  <si>
    <t>W49 TOTTUS - GANCHERAS MAGGI (GANCHERA)</t>
  </si>
  <si>
    <t>W51 TOTTUS - POP NESCAFÉ NUEVA IMAGEN (STOPPER)</t>
  </si>
  <si>
    <t>W51 TOTTUS - POP NESCAFÉ NUEVA IMAGEN (CUBREPALLETS)</t>
  </si>
  <si>
    <t>W10 JUMBO -  REVESTIMIENTO ISLA SAHNE NUSS (REVESTIMIENTO)</t>
  </si>
  <si>
    <t>W11 NESTLE - SALAS DE VENTA NESTLE PASCUA (PAYLOADER)</t>
  </si>
  <si>
    <t>W11 OXXO - CABECERAS HUEVITOS 2025 (CABECERA SIMPLE 4 CABECERA SIMPLE 5)</t>
  </si>
  <si>
    <t>W13 JUMBO - PASCUA (MEDIA EXHIBICIÓN (0,5))</t>
  </si>
  <si>
    <t>W13 JUMBO - PASCUA (EXHIBICION COMPLETA (1))</t>
  </si>
  <si>
    <t>W13 JUMBO - PASCUA (PEDESTALES NESTLE)</t>
  </si>
  <si>
    <t>W13 JUMBO - PASCUA (BOTADERO NESTLE)</t>
  </si>
  <si>
    <t>W13 SISA - PASCUA (PEDESTALES NESTLE)</t>
  </si>
  <si>
    <t>W13 SISA - PASCUA (BOTADERO NESTLE)</t>
  </si>
  <si>
    <t>W12 SSRR - PASCUA (PAYLOADER Y REVESTIMIENTO TRENCITO PASCUA)</t>
  </si>
  <si>
    <t>W13 HIPER LIDER - METRO REVESTIMIENTO CABECERA (REVESTIMIENTO CABECERA SAHNE NUSS)</t>
  </si>
  <si>
    <t>W13 HIPER LIDER - METRO TREND SAHNE NUSS (METRO TREND SAHNE NUSS)</t>
  </si>
  <si>
    <t>W13 HIPER LIDER - METRO TREND SAHNE NUSS (FLEJERA SAHNE NUSS)</t>
  </si>
  <si>
    <t>W13 LIDER EXPRESS - METRO TREND SAHNE NUSS (METRO TREND SAHNE NUSS)</t>
  </si>
  <si>
    <t>W13 LIDER EXPRESS - METRO TREND SAHNE NUSS (FLEJERA SAHNE NUSS)</t>
  </si>
  <si>
    <t>W13 HIPER LIDER - STOPPER XL SAHNE NUSS (STOPPER SAHNE NUSS)</t>
  </si>
  <si>
    <t>W13 LIDER EXPRESS - STOPPER XL SAHNE NUSS (STOPPER SAHNE NUSS)</t>
  </si>
  <si>
    <t>W13 JUMBO - GANCHERA SAHNE NUSS (GANCHERA SAHNE NUSS ANTIBRECHA)</t>
  </si>
  <si>
    <t>W13 SISA - PAYLOADER SAHNE NUSS (PAYLOADERS SAHNE NUSS)</t>
  </si>
  <si>
    <t>W13 JUMBO -  GANCHERA RINDE CARNE MAGGI (GANCHERA)</t>
  </si>
  <si>
    <t>W13 SISA -  GANCHERA RINDE CARNE MAGGI (GANCHERA)</t>
  </si>
  <si>
    <t>W15 SSRR - RECETAS NESTLÉ(ISLA MAGGI ISLA TRITON ISLA MANJAR)</t>
  </si>
  <si>
    <t>W16 TOTTUS - GANCHERA RINDE CARNE MAGGI (GANCHERA)</t>
  </si>
  <si>
    <t>W17 HIPER LIDER - REFORESTEMOS (ISLA NESTLE)</t>
  </si>
  <si>
    <t>W17 HIPER LIDER - REFORESTEMOS (ISLA P&amp;G)</t>
  </si>
  <si>
    <t>W17 HIPER LIDER - REFORESTEMOS (ISLA MIXTA)</t>
  </si>
  <si>
    <t>W16 UNIMARC - DIA DE LA MADRE (PAYLOADER SAHNE NUSS REGALA AMOR)</t>
  </si>
  <si>
    <t>W16 UNIMARC - DIA DE LA MADRE (EXPOSICION 1/3 SAHNE NUSS)</t>
  </si>
  <si>
    <t>W16 UNIMARC - DIA DE LA MADRE (ISLA DIA DE LA MADRE SAHNE NUSS)</t>
  </si>
  <si>
    <t>W17 SISA - PAYLOADER MAGGI TUCCO 200G (PAYLOADER)</t>
  </si>
  <si>
    <t>W17 SISA - PAYLOADER MAGGI (PAYLOADER)</t>
  </si>
  <si>
    <t>W18 TOTTUS - DIA DE LA MADRE (ISLA)</t>
  </si>
  <si>
    <t>W18 HIPER LIDER - DIA DE LA MADRE (CUBREPALLETS)</t>
  </si>
  <si>
    <t>W17 HIPER LIDER - HOTSPOT TRENCITO (HOTSPOT)</t>
  </si>
  <si>
    <t>W17 ACUENTA - PAYLOADEAR SAHNE NUSS CON CENEFA DIA DE LA MADRE (PAYLOADER)</t>
  </si>
  <si>
    <t>W17 ACUENTA - PAYLOADEAR SAHNE NUSS CON CENEFA DIA DE LA MADRE (CENEFA)</t>
  </si>
  <si>
    <t>W16 TOTTUS - GANCHERA SAHNE NUSS (GANCHERA)</t>
  </si>
  <si>
    <t>W19 TOTTUS - CAMPAÑA BUENA VIDA (ISLA BUENA VIDA )</t>
  </si>
  <si>
    <t>W19 TOTTUS - CAMPAÑA BUENA VIDA (ISLA RECETA SOPA)</t>
  </si>
  <si>
    <t>W19 TOTTUS - CAMPAÑA BUENA VIDA (CABECERA)</t>
  </si>
  <si>
    <t>W19 TOTTUS - CAMPAÑA BUENA VIDA (VIBRIN)</t>
  </si>
  <si>
    <t>W19 TOTTUS - CAMPAÑA BUENA VIDA (STOPPER)</t>
  </si>
  <si>
    <t>W21 HIPER LIDER - QR REFORESTEMOS (QR ISLA NESTLE)</t>
  </si>
  <si>
    <t>W21 HIPER LIDER - QR REFORESTEMOS (QR ISLA MIXTA)</t>
  </si>
  <si>
    <t>W21 HIPER LIDER - QR REFORESTEMOS (QR ISLA P&amp;G)</t>
  </si>
  <si>
    <t>W22 JUMBO - CAMPAÑA RECETAS NESTLE (ISLA TRES LECHES)</t>
  </si>
  <si>
    <t>W22 JUMBO - CAMPAÑA RECETAS NESTLE (ISLA TRITON)</t>
  </si>
  <si>
    <t>W22 TOTTUS - CAMPAÑA BUENA VIDA (ARCO)</t>
  </si>
  <si>
    <t>W22 UNIMARC - CAMPAÑA BUENA VIDA (PAYLOADER)</t>
  </si>
  <si>
    <t>W22 UNIMARC - CAMPAÑA BUENA VIDA (ISLA)</t>
  </si>
  <si>
    <t>W22 UNIMARC - CAMPAÑA BUENA VIDA (CABECERA)</t>
  </si>
  <si>
    <t>W22 UNIMARC - CAMPAÑA BUENA VIDA (STOPPER)</t>
  </si>
  <si>
    <t>W22 UNIMARC - CAMPAÑA BUENA VIDA (VIBRIN)</t>
  </si>
  <si>
    <t>W22 SISA - TRENCITO (PAYLOADER)</t>
  </si>
  <si>
    <t>W22 UNIMARC - TRENCITO (PAYLOADER)</t>
  </si>
  <si>
    <t>W22 UNIMARC - TRENCITO (ISLA)</t>
  </si>
  <si>
    <t>W24 HIPER LIDER - PAYLOADER NATURNES L2 TRAFICO (PAYLOADER)</t>
  </si>
  <si>
    <t>W24 LIDER EXPRESS - PAYLOADER NATURNES L2 TRAFICO (PAYLOADER)</t>
  </si>
  <si>
    <t>W24 HIPER LIDER - REVESTIMIENTO MANJAR L2 TRÁFICO (REVESTIMIENTO ISLA)</t>
  </si>
  <si>
    <t>W24 ACUENTA - REVESTIMIENTO MANJAR L2 TRÁFICO (REVESTIMIENTO ISLA)</t>
  </si>
  <si>
    <t>W24 LIDER EXPRESS -  DISTRIBUCION CABECERA MILO NIDO LISTA TRAFICO (CABECERA)</t>
  </si>
  <si>
    <t>W24 HIPER LIDER -  DISTRIBUCION CABECERA MILO NIDO LISTA TRAFICO (CABECERA)</t>
  </si>
  <si>
    <t>W24 HIPER LIDER -  DISTRIBUCION PAYLOADER MILO NIDO LISTA TRAFICO (PAYLODERS NIDO/MILO)</t>
  </si>
  <si>
    <t>W24 HIPER LIDER -  DISTRIBUCION STOPPER GIRATORIO LISTA TRAFICO 2 (STOPPER GIRATORIO)</t>
  </si>
  <si>
    <t>W24 LIDER EXPRESS -  DISTRIBUCION STOPPER GIRATORIO LISTA TRAFICO 2 (STOPPER GIRATORIO)</t>
  </si>
  <si>
    <t>W25 UNIMARC -  DISTRIBUCION RINDE CARNE MAGGI (GANCHERA)</t>
  </si>
  <si>
    <t>W25 UNIMARC -  CAMPAÑA CABECERA MILO (REVESTIMIENTO CABECERA)</t>
  </si>
  <si>
    <t>W25 UNIMARC - BOTADERO MCKAY (BOTADERO CON MICA)</t>
  </si>
  <si>
    <t>W25 UNIMARC - CAMPAÑA TUCO 200G (PAYLOADER MAGGI)</t>
  </si>
  <si>
    <t>W25 MAYORISTA 10 - CAMPAÑA TUCO 200G (PAYLOADER MAGGI)</t>
  </si>
  <si>
    <t>W25 MAYORISTA 10 - CAMPAÑA TUCO 200G (PAYLOADER GENERICO)</t>
  </si>
  <si>
    <t>W24 HIPER LIDER - GOODNES CREMOSO (STOPPER)</t>
  </si>
  <si>
    <t>W26 JUMBO - ISLA TRENCITO (ISLA)</t>
  </si>
  <si>
    <t>W26 JUMBO -  NIDO 5+ (GANCHERA)</t>
  </si>
  <si>
    <t>W26 SISA -  NIDO NUTRI ESENCIAL (GANCHERA)</t>
  </si>
  <si>
    <t>W26 HIPER LIDER - PAYLOADER CALDOS MAGGI (PAYLOADER)</t>
  </si>
  <si>
    <t>W27 JUMBO - GANCHERA SAHNE NUSS (GANCHERA)</t>
  </si>
  <si>
    <t>W26 JUMBO - GANCHERA TRENCITO LATERAL (GANCHERA)</t>
  </si>
  <si>
    <t>W27 SSRR - RECETAS NESTLÉ (REVESTIMIENTO ISLA SOPAS)</t>
  </si>
  <si>
    <t>W27 SSRR - RECETAS NESTLÉ (REVESTIMIENTO ISLA CHEESECAKE)</t>
  </si>
  <si>
    <t>W26 JUMBO - HOTSPOT TRENCITO (HOTSPOT)</t>
  </si>
  <si>
    <t>W25 UNIMARC - BOTADERO MCKAY (BOTADERO)</t>
  </si>
  <si>
    <t>W25 MAYORISTA 10 - BOTADERO MCKAY (BOTADERO)</t>
  </si>
  <si>
    <t>W25 SUPER 10 - BOTADERO MCKAY (BOTADERO)</t>
  </si>
  <si>
    <t>W28 UPA - GALLETAS NESTLÉ (PAYLOADER)</t>
  </si>
  <si>
    <t>W28 UNIMARC - ISLA SAHNE NUSS (ISLA)</t>
  </si>
  <si>
    <t>W28 UNIMARC - PAYLOADER SAHNE NUSS (PAYLOADER)</t>
  </si>
  <si>
    <t>W28 ACUENTA - PAYLOADER TRITON INTENSA (PAYLOADER)</t>
  </si>
  <si>
    <t>W30 HIPER LIDER - ISLA MCKAY (ISLA)</t>
  </si>
  <si>
    <t>W30 HIPER LIDER - ISLA SAHNENUSS (ISLA)</t>
  </si>
  <si>
    <t>W30 HIPER LIDER - PAYLOADEAR TRITON INTENSA (PAYLOADER)</t>
  </si>
  <si>
    <t>W31 SISA - BOTADERO Y LATERAL SANTO GUSTITO (BOTADERO)</t>
  </si>
  <si>
    <t>W31 SISA - BOTADERO Y LATERAL SANTO GUSTITO (PEDESTAL)</t>
  </si>
  <si>
    <t>W31 SISA - PAYLOADER CALDOS MAGGI (PAYLOADER)</t>
  </si>
  <si>
    <t>W31 JUMBO - ISLAS MILO (ISLA)</t>
  </si>
  <si>
    <t>W31 SSRR - TRITON INTENSA (ISLA)</t>
  </si>
  <si>
    <t>W31 SSRR - TRENCITO (PAYLOADER TRENCITO INVIERNO)</t>
  </si>
  <si>
    <t>W31 SSRR - TRITON INTENSA (PAYLOADER CON REVESTIMIENTO)</t>
  </si>
  <si>
    <t>W31 TOTTUS - TOTTUS TRENCITO (ISLA)</t>
  </si>
  <si>
    <t>W31 TOTTUS - TOTTUS TRENCITO (ARCO)</t>
  </si>
  <si>
    <t>W30 LIDER EXPRESS - PAYLOADEAR MCKAY MDD(PAYLOADER)</t>
  </si>
  <si>
    <t>W31 JUMBO - ISLA SAHNE NUSS (ISLA)</t>
  </si>
  <si>
    <t>W31 HIPER LIDER - TRITON Y KIT KAT (REVESTIMIENTO CHECK OUT)</t>
  </si>
  <si>
    <t>W31 HIPER LIDER - TRITON Y KIT KAT (LATERAL HIPER TRITON INTENSA)</t>
  </si>
  <si>
    <t>W31 LIDER EXPRESS - TRITON Y KIT KAT (LATERAL HIPER TRITON INTENSA)</t>
  </si>
  <si>
    <t>W31 HIPER LIDER - TRITON Y KIT KAT (STOPPER TRITON INTENSA)</t>
  </si>
  <si>
    <t>W31 HIPER LIDER - TRITON Y KIT KAT (MARCO GLORIFICADOR TRITON INTENSA)</t>
  </si>
  <si>
    <t>W31 UNIMARC - ARCO SAHNENUSS (ARCO)</t>
  </si>
  <si>
    <t>W31 JUMBO - HOTSPOT TRITON INTENSA (HOTSPOT)</t>
  </si>
  <si>
    <t>W31 JUMBO - HOTSPOT TRITON INTENSA (MINI HOTSPOT)</t>
  </si>
  <si>
    <t>W31 HIPER LIDER - PAYLODER BALLS (PAYLOADER GENERICO SIN GRAFICA)</t>
  </si>
  <si>
    <t>W34 ACUENTA - PAYLODER MANJAR (PAYLOADER GENERICO SIN GRAFICA)</t>
  </si>
  <si>
    <t>W34 UNIMARC - GANCHERA (GANCHERA CALDO)</t>
  </si>
  <si>
    <t>W34 HIPER LIDER - GRÁFICAS MILO (GRAFICA PAYLOADER)</t>
  </si>
  <si>
    <t>W35 JUMBO - PLAN PIÑA (LOMO NAVE XL)</t>
  </si>
  <si>
    <t>W35 JUMBO - PLAN PIÑA (MARCO REFIGERADOR)</t>
  </si>
  <si>
    <t>W35 SISA - PLAN PIÑA (LOMO NAVE XL)</t>
  </si>
  <si>
    <t>W35 SISA - PLAN PIÑA (MARCO REFIGERADOR)</t>
  </si>
  <si>
    <t>W35 UNIMARC - PLAN PIÑA (MARCO PRECIO)</t>
  </si>
  <si>
    <t>W35 UNIMARC - PLAN PIÑA (CHUPON COOLER)</t>
  </si>
  <si>
    <t>W35 UNIMARC - PLAN PIÑA (LOMO NAVE)</t>
  </si>
  <si>
    <t>W35 SSRR - PLAN PIÑA (MARCO PRECIO STOPPER COOLER VIBRIN)</t>
  </si>
  <si>
    <t>W35 SSRR - PLAN PIÑA (LOMO NAVE CABECERA XL)</t>
  </si>
  <si>
    <t>W35 SSRR - PLAN PIÑA (CENEFA MUEBLE FRIO)</t>
  </si>
  <si>
    <t>W35 TOTTUS - PLAN PIÑA (STICKER MUEBLE FRIO)</t>
  </si>
  <si>
    <t>W35 TOTTUS - PLAN PIÑA (CENEFA MUEBLE FRIO)</t>
  </si>
  <si>
    <t>W37 TOTTUS - CAMPAÑA PAYLOADER CULINARIOS (PAYLOADER)</t>
  </si>
  <si>
    <t>W36 SSRR - CAMPAÑA ISLAS MANJAR (ISLA)</t>
  </si>
  <si>
    <t>W36 SSRR - CAMPAÑA ISLAS MANJAR (GRAFICA ISLA)</t>
  </si>
  <si>
    <t>W40 JUMBO - CAMPAÑAS GOODNES (VIBRIN COLGANTE)</t>
  </si>
  <si>
    <t>W40 SISA - CAMPAÑAS GOODNES (VIBRIN COLGANTE)</t>
  </si>
  <si>
    <t>W40 SSRR - PROMOCION SAHNE NUSS 4,5KG  (FICTICIO)</t>
  </si>
  <si>
    <t>W40 SSRR - PROMOCION SAHNE NUSS 4,5KG  (CUPONES)</t>
  </si>
  <si>
    <t>W40 SSRR - PROMOCION SAHNE NUSS 4,5KG  (AFICHE PVC)</t>
  </si>
  <si>
    <t>W40 ALVI - PEDESTALES HALLOWEEN (PEDESTAL)</t>
  </si>
  <si>
    <t>W40 UNIMARC - PEDESTALES HALLOWEEN (PEDESTAL)</t>
  </si>
  <si>
    <t>W41 JUMBO - BOTADERO HALLOWEEN (BOTADERO)</t>
  </si>
  <si>
    <t>W41 SISA - BOTADERO HALLOWEEN (BOTADERO)</t>
  </si>
  <si>
    <t>W41 ACUENTA -  NATURNES NESTUM (PAYLOADER CON GRAFICA)</t>
  </si>
  <si>
    <t>W41 HIPER LIDER -  NATURNES NESTUM (PAYLOADER SIN GRAFICA QR)</t>
  </si>
  <si>
    <t>W41 LIDER EXPRESS -  NATURNES NESTUM (PAYLOADER SIN GRAFICA QR)</t>
  </si>
  <si>
    <t>W41 HIPER LIDER - PAYLOADER TUCCO (PAYLOADER)</t>
  </si>
  <si>
    <t>W47 HIPER LIDER - HOTSPOT ALTEZA (HOTSPOT)</t>
  </si>
  <si>
    <t>W41 HIPER LIDER - PAYLOADER SAHNE NUSS  KIT KAT(PAYLOADER DUO)</t>
  </si>
  <si>
    <t>W41 HIPER LIDER - ISLA SAHNE NUSS (ISLA)</t>
  </si>
  <si>
    <t>W43 HIPER LIDER - PAYLOADER SAHNE NUSS (PAYLOADER SN AB)</t>
  </si>
  <si>
    <t>W43 LIDER EXPRESS - PAYLOADER SAHNE NUSS (PAYLOADER SN AB)</t>
  </si>
  <si>
    <t>W44 JUMBO - GANCHERAS MAGGI (GANCHERA)</t>
  </si>
  <si>
    <t>W44 JUMBO - CAMPAÑA COORPORATIVA NESTLE (VIBRIN STOPPER )</t>
  </si>
  <si>
    <t>W44 JUMBO - CAMPAÑA COORPORATIVA NESTLE (LATERAL COLGANTE)</t>
  </si>
  <si>
    <t>W44 JUMBO - CAMPAÑA COORPORATIVA NESTLE (LATERAL CABECERA)</t>
  </si>
  <si>
    <t>W44 JUMBO - CAMPAÑA COORPORATIVA NESTLE ( ISLA CHOCOLATE)</t>
  </si>
  <si>
    <t>W44 JUMBO - CAMPAÑA COORPORATIVA NESTLE ( ISLA GALLETA)</t>
  </si>
  <si>
    <t>W44 JUMBO - CAMPAÑA COORPORATIVA NESTLE ( ESQUINERO)</t>
  </si>
  <si>
    <t>W45 TOTTUS - PAYLOADERS NESCAFÉ (PAYLOADER)</t>
  </si>
  <si>
    <t>W45 UNIMARC - GALLETAS NAVIDAD MCKAY (PAYLOADER)</t>
  </si>
  <si>
    <t>W45 ALVI - GALLETAS NAVIDAD MCKAY (PAYLOADER)</t>
  </si>
  <si>
    <t>W45 UNIMARC - GALLETAS TRENCITO (PAYLOADER)</t>
  </si>
  <si>
    <t>W45 UNIMARC - GALLETAS TRENCITO (PAYLOADER ANTIBRECHA)</t>
  </si>
  <si>
    <t>W47 UNIMARC - GALLETAS TRITON (PAYLOADER)</t>
  </si>
  <si>
    <t>W46 HIPER LIDER - PINTAS SAVORY (LATERAL CABECERA)</t>
  </si>
  <si>
    <t>W46 SPID - GOODNES (VIBRIN COLGANTE)</t>
  </si>
  <si>
    <t>W47 HIPER LIDER - PAYLOADERS MINICABECERAS SVELTY (PAYLOADER)</t>
  </si>
  <si>
    <t>W47 HIPER LIDER - PAYLOADERS MINICABECERAS SVELTY (QR)</t>
  </si>
  <si>
    <t>W47 HIPER LIDER - CAPSULAS DOLCE GUSTO STARBUCKS (PAYLOADER)</t>
  </si>
  <si>
    <t>W47 HIPER LIDER - CAPSULAS DOLCE GUSTO STARBUCKS (QR)</t>
  </si>
  <si>
    <t>W45 SUPER 10 - GALLETAS NAVIDAD MCKAY (PAYLOADER)</t>
  </si>
  <si>
    <t>W45 MAYORISTA 10 - GALLETAS NAVIDAD MCKAY (PAYLOADER)</t>
  </si>
  <si>
    <t>W47 UNIMARC - CALDOS MAGGI (PAYLOADER ANTIBRECHA)</t>
  </si>
  <si>
    <t>W47 HIPER LIDER - DULCE MOMENTOS SN (PAYLOADER)</t>
  </si>
  <si>
    <t>W47 HIPER LIDER - DULCE MOMENTOS SN (QR)</t>
  </si>
  <si>
    <t>W47 HIPER LIDER - MILO SIN LACTOSA (PAYLOADER)</t>
  </si>
  <si>
    <t>W47 HIPER LIDER - MILO SIN LACTOSA (QR)</t>
  </si>
  <si>
    <t>W48 JUMBO - TU VERANO SAVORY (MARCO REFRIGERADOR)</t>
  </si>
  <si>
    <t>W48 JUMBO - TU VERANO SAVORY (VIBRIN CHUPÓN)</t>
  </si>
  <si>
    <t>W48 JUMBO - TU VERANO SAVORY (LOMO NAVE)</t>
  </si>
  <si>
    <t>W48 SISA - TU VERANO SAVORY (MARCO REFRIGERADOR)</t>
  </si>
  <si>
    <t>W48 SISA - TU VERANO SAVORY (VIBRIN CHUPÓN)</t>
  </si>
  <si>
    <t>W48 SISA - TU VERANO SAVORY (LOMO NAVE)</t>
  </si>
  <si>
    <t>W48 TOTTUS - PIZARRAS SAVORY (PIZARRA)</t>
  </si>
  <si>
    <t>W49 HIPER LIDER - STICKERS NIDO (STICKER)</t>
  </si>
  <si>
    <t>W49 ACUENTA - STICKERS NIDO (STICKER)</t>
  </si>
  <si>
    <t>W48 TOTTUS - PAYLOADER ANTIBRECHA MAGGI (PAYLOADER AB)</t>
  </si>
  <si>
    <t>W47 HIPER LIDER - SAHNE NUSS NAVIDAD (PAYLOADER SN)</t>
  </si>
  <si>
    <t>W47 HIPER LIDER - SAHNE NUSS NAVIDAD (MUEBLE ARBOL)</t>
  </si>
  <si>
    <t>W47 LIDER EXPRESS - SAHNE NUSS NAVIDAD (PAYLOADER SN)</t>
  </si>
  <si>
    <t>W50 HIPER LIDER - MILO (PAYLOADER)</t>
  </si>
  <si>
    <t>W2 UNIMARC -  PAYLOADER TUCO (PAYLOADER AB)</t>
  </si>
  <si>
    <t>W2 SUPER 10 -  PAYLOADER TUCO (PAYLOADER AB)</t>
  </si>
  <si>
    <t>NOMBRE CAMPAÑA VISIBILITY</t>
  </si>
  <si>
    <t>NOMBRE CAMPAÑA AGRUPADA</t>
  </si>
  <si>
    <t>GALLETAS MCKAY BOTADERO</t>
  </si>
  <si>
    <t>GALLETA TRENCITO BAÑADA</t>
  </si>
  <si>
    <t>GALLETAS NAVIDAD</t>
  </si>
  <si>
    <t>CHOCOLATES TRENCITO NAVIDAD</t>
  </si>
  <si>
    <t>DULCE NAVIDAD</t>
  </si>
  <si>
    <t>NIDO EXCELLA</t>
  </si>
  <si>
    <t>CRUZ VERDE</t>
  </si>
  <si>
    <t>CHOCOLATES NAVIDAD</t>
  </si>
  <si>
    <t>NESCAFE DOLCE MIX</t>
  </si>
  <si>
    <t>CERELAC</t>
  </si>
  <si>
    <t>SAVORY PLAN VERANO</t>
  </si>
  <si>
    <t>MCKAY MUEBLES INNOVADORES</t>
  </si>
  <si>
    <t>CHAMONIX NAVIDAD</t>
  </si>
  <si>
    <t>W52 JUMBO - PAYLOADERS GALAK/TRENCITO/CRUNCH (PAYLOADER)</t>
  </si>
  <si>
    <t>MCKAY  GALAK-TRENCITO-CRUNCH</t>
  </si>
  <si>
    <t>NIDO 1,9KG</t>
  </si>
  <si>
    <t>LISTA 1 MAGGI</t>
  </si>
  <si>
    <t>SVELTY</t>
  </si>
  <si>
    <t>YOGOLINO</t>
  </si>
  <si>
    <t>NIDO BUEN DÍA</t>
  </si>
  <si>
    <t>GOODNES MIX</t>
  </si>
  <si>
    <t>Retiro Cabecera Kit Kat JUMBO</t>
  </si>
  <si>
    <t>KIT KAT</t>
  </si>
  <si>
    <t>SAHNE NUSS PAYLOADERS</t>
  </si>
  <si>
    <t>ALTEZA SAVORY</t>
  </si>
  <si>
    <t>MUEBLES PLATANEROS</t>
  </si>
  <si>
    <t>SAVORY ALARMA HELADO</t>
  </si>
  <si>
    <t>LA CREMERÍA</t>
  </si>
  <si>
    <t>SAVORY SIN AZÚCAR</t>
  </si>
  <si>
    <t>NESCAFÉ</t>
  </si>
  <si>
    <t>NATURNES</t>
  </si>
  <si>
    <t>MIXES</t>
  </si>
  <si>
    <t>PASCUA 2024</t>
  </si>
  <si>
    <t>SAHNE NUSS DIA ENAMORADOS</t>
  </si>
  <si>
    <t xml:space="preserve">LISTA 2 TRAFICO </t>
  </si>
  <si>
    <t>TRITON LOLLAPALOOZA</t>
  </si>
  <si>
    <t xml:space="preserve"> LISTA 2 GALLETAS Y CHOCOLATES</t>
  </si>
  <si>
    <t>ALARMA FORMULA</t>
  </si>
  <si>
    <t>MILO</t>
  </si>
  <si>
    <t>NESCAFÉ FS DECAF</t>
  </si>
  <si>
    <t>W7 SISA - PAYLOADERS SAHNE NUSS (PAYLOADER)</t>
  </si>
  <si>
    <t>SAHNE NUSS</t>
  </si>
  <si>
    <t xml:space="preserve">SAHNE NUSS </t>
  </si>
  <si>
    <t>NATURNES CONCURSO</t>
  </si>
  <si>
    <t xml:space="preserve">MILO BTS </t>
  </si>
  <si>
    <t xml:space="preserve">MAGGI </t>
  </si>
  <si>
    <t>FARMACIA INDEPENDIENTE</t>
  </si>
  <si>
    <t>LISTA 2 TRENCITO SN</t>
  </si>
  <si>
    <t>NIDO BTS</t>
  </si>
  <si>
    <t>MILO CONCURSO</t>
  </si>
  <si>
    <t xml:space="preserve">RENUEVA TU CASA </t>
  </si>
  <si>
    <t>MILO GALLETAS</t>
  </si>
  <si>
    <t>CORRIDA MILO TEMUCO</t>
  </si>
  <si>
    <t>NESTUM RELEVANCE</t>
  </si>
  <si>
    <t>AGUA DE COCO</t>
  </si>
  <si>
    <t>NIDO L3</t>
  </si>
  <si>
    <t>NIDO YOGOLINO</t>
  </si>
  <si>
    <t>CATÁLOGO ABRIL</t>
  </si>
  <si>
    <t>LISTA 3</t>
  </si>
  <si>
    <t>NAN OPTIPRO</t>
  </si>
  <si>
    <t>NIDO NUTRI ESENCIAL</t>
  </si>
  <si>
    <t>CORRIDA MILO SANTIAGO</t>
  </si>
  <si>
    <t>NIDO ETAPAS BAJA DE PRECIOS</t>
  </si>
  <si>
    <t>TRENCITO/SAHNE NUSS</t>
  </si>
  <si>
    <t>NESTUM</t>
  </si>
  <si>
    <t>REFRIGERADOS</t>
  </si>
  <si>
    <t>CONCURSO NATURNES</t>
  </si>
  <si>
    <t>LISTA 4</t>
  </si>
  <si>
    <t>CATÁLOGO JUNIO</t>
  </si>
  <si>
    <t>CONCURSO NESCAFÉ</t>
  </si>
  <si>
    <t>CONCURSO MAGGI</t>
  </si>
  <si>
    <t>SAHNE NUSS BOMBONES</t>
  </si>
  <si>
    <t>CONCURSO SANHENUSS 100 AÑOS</t>
  </si>
  <si>
    <t>RECETAS NESTLÉ</t>
  </si>
  <si>
    <t>NIDO 300G</t>
  </si>
  <si>
    <t>SVELTY 300G</t>
  </si>
  <si>
    <t>NATURES HEART</t>
  </si>
  <si>
    <t>MUNDO TRENCITO</t>
  </si>
  <si>
    <t>DULCE GUSTITO</t>
  </si>
  <si>
    <t>NESCAFÉ MIXES</t>
  </si>
  <si>
    <t>PLAN PIÑA</t>
  </si>
  <si>
    <t>NIDO LISTA 5</t>
  </si>
  <si>
    <t>NIDO YOGOLINO SSRR</t>
  </si>
  <si>
    <t>NIDO CHOCOLATE</t>
  </si>
  <si>
    <t>SVELTY SEMI DESCREMADA</t>
  </si>
  <si>
    <t>APOYO CATALOGO 7 OFERTA</t>
  </si>
  <si>
    <t>HALLOWEEN SMU</t>
  </si>
  <si>
    <t>HALLOWEEN CENCO</t>
  </si>
  <si>
    <t>CHOCOLATES LISTA  6</t>
  </si>
  <si>
    <t>GALLETAS LISTA 6</t>
  </si>
  <si>
    <t>NATURES HEART LISTA 6</t>
  </si>
  <si>
    <t>NIDO CHOCOLATE LISTA 6</t>
  </si>
  <si>
    <t>NIDO LISTA 6</t>
  </si>
  <si>
    <t>CULINARIOS LISTA 6</t>
  </si>
  <si>
    <t>TRITON</t>
  </si>
  <si>
    <t>CABECERAS PINTAS</t>
  </si>
  <si>
    <t>CATALOGO DICIEMBRE</t>
  </si>
  <si>
    <t>MUEBLES NAVIDAD SMU</t>
  </si>
  <si>
    <t>MEGA TRIO</t>
  </si>
  <si>
    <t>NIDO ETAPA 2 LISTA 6</t>
  </si>
  <si>
    <t>MILO LISTA 6</t>
  </si>
  <si>
    <t>MILO LISTA 1</t>
  </si>
  <si>
    <t>CONCURSO GANA UN DRON CON SAVORY</t>
  </si>
  <si>
    <t>SAHNE NUSS SAN VALIENTIN</t>
  </si>
  <si>
    <t>MANJAR NESTLE</t>
  </si>
  <si>
    <t>SAN VALENTIN</t>
  </si>
  <si>
    <t>GALLETAS BTS</t>
  </si>
  <si>
    <t>NATURNES L1</t>
  </si>
  <si>
    <t>BALLS L1</t>
  </si>
  <si>
    <t>NIDO CHOCOLATE LISTA 1</t>
  </si>
  <si>
    <t>ISLA MANJAR NESTLE</t>
  </si>
  <si>
    <t>CUBREPALLET MANJAR</t>
  </si>
  <si>
    <t>BOTADEROS MAGGI</t>
  </si>
  <si>
    <t>NATURNES TOTTUS</t>
  </si>
  <si>
    <t>NIDO SMU TOTTUS</t>
  </si>
  <si>
    <t>PASCUA SMU 2025</t>
  </si>
  <si>
    <t>PASCUA TOTTUS 2025</t>
  </si>
  <si>
    <t>REVESTIMIENTO ISLA SAHNE NUSS</t>
  </si>
  <si>
    <t>SALAS DE VENTA NESTLE PASCUA</t>
  </si>
  <si>
    <t>CABECERAS PASCUA 2025 OXXO</t>
  </si>
  <si>
    <t>PASCUA CENCO 2025</t>
  </si>
  <si>
    <t>PASCUA SSRR 2025</t>
  </si>
  <si>
    <t>EQUITY SAHNE NUSS WM</t>
  </si>
  <si>
    <t>EQUITY SAHNE NUSS CENCO</t>
  </si>
  <si>
    <t>MAGGI RINDE CARNE</t>
  </si>
  <si>
    <t>GANCHERAS RINDE CARNE</t>
  </si>
  <si>
    <t>ISLA RECETAS NESTLÉ</t>
  </si>
  <si>
    <t>REFORESTEMOS WM</t>
  </si>
  <si>
    <t>SAHNENUSS DIA DE LA MADRE</t>
  </si>
  <si>
    <t>MAGGI TUCCO</t>
  </si>
  <si>
    <t>MAGGI SOPAS Y CREMAS</t>
  </si>
  <si>
    <t>LA BUENA VIDA</t>
  </si>
  <si>
    <t>RETIRO PAYLOADER NATURNES</t>
  </si>
  <si>
    <t>LISTA 2 WALMART</t>
  </si>
  <si>
    <t>RINDE CARNE</t>
  </si>
  <si>
    <t>GOODNES CREMOSO</t>
  </si>
  <si>
    <t>NIDO +5</t>
  </si>
  <si>
    <t>MAGGI</t>
  </si>
  <si>
    <t>SAHNENUSS</t>
  </si>
  <si>
    <t>NESTLE</t>
  </si>
  <si>
    <t>TRITON INTENSA</t>
  </si>
  <si>
    <t>KITKAT</t>
  </si>
  <si>
    <t xml:space="preserve">BALLS </t>
  </si>
  <si>
    <t>GOODNES</t>
  </si>
  <si>
    <t>SAHNE NUSS 4,5 KG SSRR</t>
  </si>
  <si>
    <t>MCKAY HALLOWEEN</t>
  </si>
  <si>
    <t>NATURNES NESTUM</t>
  </si>
  <si>
    <t>ALTEZA</t>
  </si>
  <si>
    <t>PAYLOADER SN KITKAT</t>
  </si>
  <si>
    <t>CAMPAÑA COORPORATIVA NESTLÉ</t>
  </si>
  <si>
    <t>MCKAY NAVIDAD</t>
  </si>
  <si>
    <t>SAVORY</t>
  </si>
  <si>
    <t>DOLCE GUSTO STARBUCKS</t>
  </si>
  <si>
    <t>DULCES MOMENTOS SAHNE NUSS</t>
  </si>
  <si>
    <t>TU VERANO SAVORY</t>
  </si>
  <si>
    <t>NIDO</t>
  </si>
  <si>
    <t>SAHNE NUSS NAVIDAD</t>
  </si>
  <si>
    <t>MAGGI TUCO</t>
  </si>
  <si>
    <t>MARCA/SEGMENTO</t>
  </si>
  <si>
    <t>Galletas</t>
  </si>
  <si>
    <t>Triton Lollapalooza</t>
  </si>
  <si>
    <t>FECHA MÁX. IMPLEMENTACIÓN</t>
  </si>
  <si>
    <t>W02 TOTTUS - TRITON LOLLAPALOOZA (HOTSPOT)</t>
  </si>
  <si>
    <t>W02 WALMART - TRITON LOLLAPALOOZA (HOTSPOT)</t>
  </si>
  <si>
    <t>W02 SSRR - TRITON LOLLAPALOOZA(PAYLOADER)</t>
  </si>
  <si>
    <t>W02 JUMBO - TRITON LOLLAPALOOZA (HOTSPOT)</t>
  </si>
  <si>
    <t>W02 SISA - TRITON LOLLAPALOOZA (HOTSPOT)</t>
  </si>
  <si>
    <t>Triton lollapalooza</t>
  </si>
  <si>
    <t>W01 JUMBO - POP CAVERNÍCOLAS (STOPPER VIBRIN MARCO PRECIO)</t>
  </si>
  <si>
    <t>W01 JUMBO - POP CAVERNÍCOLAS (FLEJERA EN L)</t>
  </si>
  <si>
    <t>W01 SISA - POP CAVERNÍCOLAS (STOPPER VIBRIN MARCO PRECIO)</t>
  </si>
  <si>
    <t>W01 SISA - POP CAVERNÍCOLAS (FLEJERA EN L)</t>
  </si>
  <si>
    <t>W01 UNIMARC - POP CAVERNÍCOLAS (STOPPER VIBRIN)</t>
  </si>
  <si>
    <t>W01 SSRR - POP CAVERNÍCOLAS (FLEJERA EN L)</t>
  </si>
  <si>
    <t>W01 SSRR - POP CAVERNÍCOLAS (STOPPER GENERICO STOPPER PLAN VERANO VIBRIN PLAN VERANO)</t>
  </si>
  <si>
    <t>W01 JUMBO - NIDO BUEN DÍA (STOPPER VIBRIN)</t>
  </si>
  <si>
    <t>W01 SISA - NIDO BUEN DÍA (STOPPER VIBRIN)</t>
  </si>
  <si>
    <t>W01 UNIMARC - NIDO BUEN DÍA (STOPPER VIBRIN)</t>
  </si>
  <si>
    <t>W01 JUMBO - NIDO 1,9 KG (FLEJERA EN L)</t>
  </si>
  <si>
    <t>W01 JUMBO - NIDO 1,9 KG (MARCO PRECIO STOPPER VIBRIN)</t>
  </si>
  <si>
    <t>W01 HIPER LIDER - NIDO 1,9 KG (MARCO PRECIO STOPPER)</t>
  </si>
  <si>
    <t>W01 UNIMARC - NIDO 1,9 KG (STOPPER)</t>
  </si>
  <si>
    <t>W01 HIPER LIDER - YOGOLINO (STOPPER)</t>
  </si>
  <si>
    <t>W01 LIDER EXPRESS - YOGOLINO (STOPPER)</t>
  </si>
  <si>
    <t>W01 HIPER LIDER - SVELTY (MARCO PRECIO STOPPER)</t>
  </si>
  <si>
    <t>W01 LIDER EXPRESS - SVELTY (MARCO PRECIO STOPPER)</t>
  </si>
  <si>
    <t>W01 JUMBO - SVELTY (FLEJERA EN L)</t>
  </si>
  <si>
    <t>W01 JUMBO - SVELTY (MARCO PRECIO STOPPER VIBRIN)</t>
  </si>
  <si>
    <t>W03 UNIMARC - VIBRIN GOODNES MIX (VIBRIN)</t>
  </si>
  <si>
    <t>W01 HIPER LIDER - PAYLOADERS MAGGI LISTA 1 (PAYLOADER SIN GRAFICA)</t>
  </si>
  <si>
    <t>W01 UNIMARC - PAYLOADER CAVERNÍCOLAS (PAYLOADER)</t>
  </si>
  <si>
    <t>W01 JUMBO - PAYLOADERS SAHNE NUSS(PAYLOADER)</t>
  </si>
  <si>
    <t>W04 SISA - BOTADEROS ALTEZA(BOTADERO)</t>
  </si>
  <si>
    <t>W04 SSRR - MUEBLES PLATANEROS(MUEBLE)</t>
  </si>
  <si>
    <t>W05 JUMBO - POP SAVORY SIN AZÚCAR (STOPPER MARCO PRECIO CHUPON1 CHUPON2)</t>
  </si>
  <si>
    <t>W05 JUMBO - POP SAVORY SIN AZÚCAR (FLEJERA L)</t>
  </si>
  <si>
    <t>W05 SISA - POP SAVORY SIN AZÚCAR (STOPPER MARCO PRECIO CHUPON1 CHUPON2)</t>
  </si>
  <si>
    <t>W05 SISA - POP SAVORY SIN AZÚCAR (FLEJERA L)</t>
  </si>
  <si>
    <t>W05 JUMBO - POP LA CREMERÍA (STOPPER MARCO PRECIO CHUPON)</t>
  </si>
  <si>
    <t>W05 JUMBO - POP LA CREMERÍA (FLEJERA L)</t>
  </si>
  <si>
    <t>W04 HIPER LIDER - MATERIAL SAVORY ALARMA DE HELADO (CUBREALARMA CHUPON)</t>
  </si>
  <si>
    <t>W03 HIPER LIDER - PAYLOADERS ALTEZA (PAYLOADER)</t>
  </si>
  <si>
    <t>W04 UNIMARC - CUBO AB NESCAFÉ (CUBO ANTIBRECHA)</t>
  </si>
  <si>
    <t>W04 CRUZ VERDE - MATERIAL FARMACIA (PAYLOADER)</t>
  </si>
  <si>
    <t>W04 CRUZ VERDE - MATERIAL FARMACIA (MICA ANTIBRECHA)</t>
  </si>
  <si>
    <t>W04 CRUZ VERDE - MATERIAL FARMACIA (DESCOLOCADOR DE ALARMAS)</t>
  </si>
  <si>
    <t>W04 CRUZ VERDE - MATERIAL FARMACIA (ALARMAS)</t>
  </si>
  <si>
    <t>W04 HIPER LIDER - POP NATURNES (REVESETIMIENTO LATERAL)</t>
  </si>
  <si>
    <t>W04 HIPER LIDER - POP NATURNES (STOPPER MARCO PRECIO)</t>
  </si>
  <si>
    <t>W05 SISA - PAYLOADERS MIXES (GRAFICA)</t>
  </si>
  <si>
    <t>W05 SISA - PAYLOADERS MIXES (PAYLOADER)</t>
  </si>
  <si>
    <t>W06 SSRR - LISTA SALAS PASCUA 2024(PAYLOADER)</t>
  </si>
  <si>
    <t>W06 UNIMARC - LISTA SALAS PASCUA 2024(PAYLOADER)</t>
  </si>
  <si>
    <t>W06 UNIMARC - LISTA SALAS PASCUA 2024(BOTADERO)</t>
  </si>
  <si>
    <t>W06 MAYORISTA 10 - LISTA SALAS PASCUA 2024(PAYLOADER)</t>
  </si>
  <si>
    <t>W06 MAYORISTA 10 - LISTA SALAS PASCUA 2024(BOTADERO)</t>
  </si>
  <si>
    <t>W06 ALVI - LISTA SALAS PASCUA 2024(PAYLOADER)</t>
  </si>
  <si>
    <t>W09 TOTTUS - LISTA SALAS PASCUA 2024(PAYLOADER)</t>
  </si>
  <si>
    <t>W06 OXXO - LISTA SALAS PASCUA 2024(CABECERA TIPO 4)</t>
  </si>
  <si>
    <t>W06 OXXO - LISTA SALAS PASCUA 2024(CABECERA TIPO 5)</t>
  </si>
  <si>
    <t>W06 OXXO - LISTA SALAS PASCUA 2024(CABECERA TIPO 6)</t>
  </si>
  <si>
    <t>W06 JUMBO - DÍA DE LOS ENAMORADOS (VIBRIN STOPPER )</t>
  </si>
  <si>
    <t>W06 JUMBO - DÍA DE LOS ENAMORADOS (BANDEJA EN L)</t>
  </si>
  <si>
    <t>W07 HIPER LIDER -  CATÁLOGO TRAFICO LISTA 2 (PAYLOADER)</t>
  </si>
  <si>
    <t>W07 HIPER LIDER -  CATÁLOGO TRAFICO LISTA 2 (REVESETIMIENTO)</t>
  </si>
  <si>
    <t>W07 ACUENTA -  CATÁLOGO TRAFICO LISTA 2 (PAYLOADER)</t>
  </si>
  <si>
    <t>W07 UNIMARC - GALLETAS Y CHOCOLATES LISTA 2 (REVESTIMIENTO ISLA CRIOLLITA)</t>
  </si>
  <si>
    <t>W07 UNIMARC - GALLETAS Y CHOCOLATES LISTA 2 (PAYLOADER)</t>
  </si>
  <si>
    <t>W07 UNIMARC - GALLETAS Y CHOCOLATES LISTA 2 (REVESTIMIENTO ISLA TRITON)</t>
  </si>
  <si>
    <t>W07 SSRR - TRITÓN CONCURSO LOLLAPALOOZA(BUZON)</t>
  </si>
  <si>
    <t>W07 SSRR - TRITÓN CONCURSO LOLLAPALOOZA(PAYLOADER)</t>
  </si>
  <si>
    <t>W07 SSRR - TRITÓN CONCURSO LOLLAPALOOZA(REV LATERAL CABECERA)</t>
  </si>
  <si>
    <t>W07 SSRR - TRITÓN CONCURSO LOLLAPALOOZA(PENDON)</t>
  </si>
  <si>
    <t>W07 SSRR - TRITÓN CONCURSO LOLLAPALOOZA(BANDEJA EN L)</t>
  </si>
  <si>
    <t>W07 SSRR - TRITÓN CONCURSO LOLLAPALOOZA(STOPPER VIBRIN MARCO DE PRECIO)</t>
  </si>
  <si>
    <t>W07 HIPER LIDER - POP MILO (CUBREPALLET)</t>
  </si>
  <si>
    <t>W07 LIDER EXPRESS - POP MILO (REVESTIMIENTOLATERAL)</t>
  </si>
  <si>
    <t>W07 CRUZ VERDE - MATERIAL PENDIENTE (PAYLOADER)</t>
  </si>
  <si>
    <t>W04 HIPER LIDER - ALARMA FÓRMULA (ALARMAS)</t>
  </si>
  <si>
    <t>W04 LIDER EXPRESS - ALARMA FÓRMULA (ALARMAS)</t>
  </si>
  <si>
    <t>W05 JUMBO - POP NESCAFÉ FS DECAF (STOPPER)</t>
  </si>
  <si>
    <t>W05 JUMBO - POP NESCAFÉ FS DECAF (BANDEJA L)</t>
  </si>
  <si>
    <t>W08 SISA - TRITÓN CONCURSO LOLLAPALOOZA(PAYLOADER)</t>
  </si>
  <si>
    <t>W07 ACUENTA - PAYLOADERS SAHNE NUSS (PAYLOADER)</t>
  </si>
  <si>
    <t>W08 SSRR - NATURNES CONCURSO (CUATRICICLO)</t>
  </si>
  <si>
    <t>W08 SSRR - NATURNES CONCURSO (PAYLOADER)</t>
  </si>
  <si>
    <t>W08 SSRR - NATURNES CONCURSO (STOPPER VIBRIN MARCO PRECIO)</t>
  </si>
  <si>
    <t>W08 SSRR - NATURNES CONCURSO (BANDEJA EN L)</t>
  </si>
  <si>
    <t>W08 SSRR - NATURNES CONCURSO (PENDON)</t>
  </si>
  <si>
    <t>W09 SISA - PAYLOADERS MAGGI (PAYLOADER)</t>
  </si>
  <si>
    <t>W09 JUMBO - MILO BTS (STOPPER)</t>
  </si>
  <si>
    <t>W09 JUMBO - MILO BTS (FLEJERA)</t>
  </si>
  <si>
    <t>W09 SISA - MILO BTS (STOPPER)</t>
  </si>
  <si>
    <t>W09 SISA - MILO BTS (FLEJERA)</t>
  </si>
  <si>
    <t>W09 SISA - MILO BTS (PAYLOADER)</t>
  </si>
  <si>
    <t>W09 SISA - MILO BTS (ESQUINEROS)</t>
  </si>
  <si>
    <t>W08 FARMACIA INDEPENDIENTE - MATERIAL (PAYLOADER)</t>
  </si>
  <si>
    <t>W08 FARMACIA INDEPENDIENTE - MATERIAL (ANTIBRECHA)</t>
  </si>
  <si>
    <t>W08 FARMACIA INDEPENDIENTE - MATERIAL (DESCOLOCADOR DE ALARMAS)</t>
  </si>
  <si>
    <t>W08 FARMACIA INDEPENDIENTE - MATERIAL (ALARMAS)</t>
  </si>
  <si>
    <t>W09 HIPER LIDER - LISTA 2  PAYLOADER TRENCITO SN(PAYLOADER)</t>
  </si>
  <si>
    <t>W09 LIDER EXPRESS - LISTA 2  PAYLOADER TRENCITO SN(PAYLOADER)</t>
  </si>
  <si>
    <t>W07 HIPER LIDER - NIDO BTS (REVESTIMIENTO)</t>
  </si>
  <si>
    <t>W07 HIPER LIDER - NIDO BTS (PAYLOADER)</t>
  </si>
  <si>
    <t>W07 HIPER LIDER - NIDO BTS (STICKER QR)</t>
  </si>
  <si>
    <t>W07 LIDER EXPRESS - NIDO BTS (REVESTIMIENTO)</t>
  </si>
  <si>
    <t>W07 LIDER EXPRESS - NIDO BTS (STICKER QR)</t>
  </si>
  <si>
    <t>W09 SSRR - BICICLETAS Y MATERIAL PARA CONCURSO (BICICLETA)</t>
  </si>
  <si>
    <t>W09 SSRR - BICICLETAS Y MATERIAL PARA CONCURSO (REVESTIMIENTO ISLA)</t>
  </si>
  <si>
    <t>W09 SSRR - BICICLETAS Y MATERIAL PARA CONCURSO (REVESTIMIENTO LATERAL DE CABECERA)</t>
  </si>
  <si>
    <t>W09 SSRR - BICICLETAS Y MATERIAL PARA CONCURSO (STOPPER VIBRIN)</t>
  </si>
  <si>
    <t>W09 SSRR - BICICLETAS Y MATERIAL PARA CONCURSO (BANDEJA EN L)</t>
  </si>
  <si>
    <t>W09 SSRR - BICICLETAS Y MATERIAL PARA CONCURSO (PENDON)</t>
  </si>
  <si>
    <t>W09 SSRR - BICICLETAS Y MATERIAL PARA CONCURSO (CUPONERA CONCURSO)</t>
  </si>
  <si>
    <t>W09 SSRR - BICICLETAS Y MATERIAL PARA CONCURSO (BUZON)</t>
  </si>
  <si>
    <t>W09 JUMBO - NESTLÉ PASCUA 2024(EXHIBICION COMPLETA)</t>
  </si>
  <si>
    <t>W09 JUMBO - NESTLÉ PASCUA 2024(EXHIBICION MEDIA)</t>
  </si>
  <si>
    <t>W09 TOTTUS - MATERIALES CERELAC (GANCHERA)</t>
  </si>
  <si>
    <t>W09 TOTTUS - MATERIALES CERELAC (BANDEJA)</t>
  </si>
  <si>
    <t>W09 ESMAX - SALAS ESMAX PASCUA 2024 (GANCHERA)</t>
  </si>
  <si>
    <t>W08 HIPER LIDER - CORRIDA MILO TEMUCO (VIBRIN FLEJERA STOPPER)</t>
  </si>
  <si>
    <t>W08 LIDER EXPRESS - CORRIDA MILO TEMUCO (VIBRIN FLEJERA STOPPER)</t>
  </si>
  <si>
    <t>W08 JUMBO - CORRIDA MILO TEMUCO (VIBRIN FLEJERA STOPPER)</t>
  </si>
  <si>
    <t>W08 SISA - CORRIDA MILO TEMUCO (VIBRIN FLEJERA STOPPER)</t>
  </si>
  <si>
    <t>W08 UNIMARC - CORRIDA MILO TEMUCO (VIBRIN FLEJERA STOPPER)</t>
  </si>
  <si>
    <t>W01 HIPER LIDER - PAYLOADER MILO L1 (PAYLOADER)</t>
  </si>
  <si>
    <t>W02 HIPER LIDER - PAYLOADERS CULINARIOS L1 (PAYLOADER)</t>
  </si>
  <si>
    <t>W02 SSRR - PLAN VERANO SAVORY (BIGBOY)</t>
  </si>
  <si>
    <t>W02 SSRR - PLAN VERANO SAVORY (STOPPER)</t>
  </si>
  <si>
    <t>W02 SSRR - PLAN VERANO SAVORY (VIBRIN)</t>
  </si>
  <si>
    <t>W02 SSRR - PLAN VERANO SAVORY (LOMO NAVE)</t>
  </si>
  <si>
    <t>W02 SSRR - PLAN VERANO SAVORY (HUINCHA COOLER)</t>
  </si>
  <si>
    <t>W02 SSRR - PLAN VERANO SAVORY (DRON)</t>
  </si>
  <si>
    <t>W02 HIPER LIDER - PAYLOADER SN SAN VALENTÍN (PAYLOADER)</t>
  </si>
  <si>
    <t>W02 HIPER LIDER - HOTSPOT TRITON (HOTSPOT)</t>
  </si>
  <si>
    <t>W05 SISA - ESQUINEROS MANJAR(ESQUINEROS)</t>
  </si>
  <si>
    <t>W03 UNIMARC - PAYLOADER SN SAN VALENTÍN (PAYLOADER)</t>
  </si>
  <si>
    <t>W05 JUMBO - ISLA SN SAN VALENTÍN (ISLA)</t>
  </si>
  <si>
    <t>W06 UNIMARC - MEGA TRÍO (VIBRIN STOPPER)</t>
  </si>
  <si>
    <t>W05 TOTTUS - MEGA TRÍO (  LATERAL CABECERA)</t>
  </si>
  <si>
    <t>W05 TOTTUS - MEGA TRÍO (  VIBRÍN STOPPER)</t>
  </si>
  <si>
    <t>W05 TOTTUS - MEGA TRÍO (  CUBREALARMA)</t>
  </si>
  <si>
    <t>W07 HIPER LIDER - MEGA TRÍO (  LATERAL CABECERA)</t>
  </si>
  <si>
    <t>W07 HIPER LIDER - MEGA TRÍO (  VIBRÍN STOPPER)</t>
  </si>
  <si>
    <t>W07 LIDER EXPRESS - MEGA TRÍO (  VIBRÍN STOPPER)</t>
  </si>
  <si>
    <t>W05 JUMBO - MEGA TRÍO (   LATERAL CABECERA)</t>
  </si>
  <si>
    <t>W05 JUMBO - MEGA TRÍO (   VIBRÍN)</t>
  </si>
  <si>
    <t>W05 JUMBO - MEGA TRÍO (   MARCO PUERTA)</t>
  </si>
  <si>
    <t>W05 SISA - MEGA TRÍO (   VIBRÍN)</t>
  </si>
  <si>
    <t>W05 SISA - MEGA TRÍO (   MARCO PUERTA)</t>
  </si>
  <si>
    <t>W08 ALVI - CUBREPALLETS MANJAR (CUBREPALLETS)</t>
  </si>
  <si>
    <t>W08 UNIMARC - BTS GALLETAS ESPECIALES (PAYLOADER)</t>
  </si>
  <si>
    <t>W08 UNIMARC -  BOTADEROS GALLETAS BTS (BOTADEROS)</t>
  </si>
  <si>
    <t>W08 MAYORISTA 10 - BOTADEROS GALLETAS BTS (BOTADEROS)</t>
  </si>
  <si>
    <t>W08 SUPER 10 - BOTADEROS GALLETAS BTS (BOTADEROS)</t>
  </si>
  <si>
    <t>W08 MONSERRAT - BOTADEROS GALLETAS BTS (BOTADEROS)</t>
  </si>
  <si>
    <t>W07 HIPER LIDER - PAYLOADER NATURNES L1 (PAYLOADERS)</t>
  </si>
  <si>
    <t>W07 HIPER LIDER - PAYLOADERS BALLS L1E2 (PAYLOADERS)</t>
  </si>
  <si>
    <t>W07 HIPER LIDER -  DISTRIBUCION NIDO CHOCOLATE (MARCO GONDOLA)</t>
  </si>
  <si>
    <t>W07 HIPER LIDER -  DISTRIBUCION NIDO CHOCOLATE (METRO TREND)</t>
  </si>
  <si>
    <t>W07 HIPER LIDER -  DISTRIBUCION NIDO CHOCOLATE (FLEJERA EN L)</t>
  </si>
  <si>
    <t>W07 HIPER LIDER -  DISTRIBUCION NIDO CHOCOLATE (STOPPER XL)</t>
  </si>
  <si>
    <t>W07 HIPER LIDER - ISLA MANJAR  L1 (REVESTIMIENTO)</t>
  </si>
  <si>
    <t>W07 ALVI - CUBREPALLETS MANJAR (CUBREPALLET)</t>
  </si>
  <si>
    <t>W08 TOTTUS - BOTADEROS MAGGI (BOTADEROS)</t>
  </si>
  <si>
    <t>W08 TOTTUS - NATURNES (MARCO GONDOLA)</t>
  </si>
  <si>
    <t>W08 TOTTUS - NATURNES (STOPPER GONDOLA)</t>
  </si>
  <si>
    <t>W09 TOTTUS - NIDO (VIBRIN NIDO CHOCOLATE)</t>
  </si>
  <si>
    <t>W09 TOTTUS - NIDO (MARCO PRECIO NIDO CHOCOLATE)</t>
  </si>
  <si>
    <t>W09 TOTTUS - NIDO (FLEJERA EN L NIDO CHOCOLATE)</t>
  </si>
  <si>
    <t>W09 TOTTUS - NIDO (FLEJERA NUTRI ESENCIAL)</t>
  </si>
  <si>
    <t>W09 TOTTUS - NIDO (VIBRIN NUTRI ESENCIAL )</t>
  </si>
  <si>
    <t>W09 TOTTUS - NIDO (MARCO NUTRI ESENCIAL)</t>
  </si>
  <si>
    <t>W09 UNIMARC - NIDO (VIBRIN NIDO CHOCOLATE)</t>
  </si>
  <si>
    <t>W09 UNIMARC - NIDO (MARCO PRECIO NIDO CHOCOLATE)</t>
  </si>
  <si>
    <t>W09 UNIMARC - NIDO (FLEJERA EN L NIDO CHOCOLATE)</t>
  </si>
  <si>
    <t>W09 UNIMARC - NIDO (FLEJERA NUTRI ESENCIAL)</t>
  </si>
  <si>
    <t>W09 UNIMARC - NIDO (VIBRIN NUTRI ESENCIAL )</t>
  </si>
  <si>
    <t>W09 UNIMARC - NIDO (MARCO NUTRI ESENCIAL)</t>
  </si>
  <si>
    <t>W08 JUMBO -  DISTRIBUCION NIDO CHOCOLATE  (GANCHERA)</t>
  </si>
  <si>
    <t>W08 SISA -  DISTRIBUCION NIDO CHOCOLATE (GANCHERA)</t>
  </si>
  <si>
    <t>W09 ALVI - PASCUA (PEDESTAL ANTIBRECHA)</t>
  </si>
  <si>
    <t>W09 ALVI - PASCUA (BOTADERO)</t>
  </si>
  <si>
    <t>W09 MAYORISTA 10 - PASCUA (PEDESTAL ANTIBRECHA)</t>
  </si>
  <si>
    <t>W09 MAYORISTA 10 - PASCUA (BOTADERO)</t>
  </si>
  <si>
    <t>W09 SUPER 10 - PASCUA (PEDESTAL ANTIBRECHA)</t>
  </si>
  <si>
    <t>W09 SUPER 10 - PASCUA (BOTADERO)</t>
  </si>
  <si>
    <t>W09 UNIMARC - PASCUA (PEDESTAL ANTIBRECHA)</t>
  </si>
  <si>
    <t>W09 UNIMARC - PASCUA (BOTADERO)</t>
  </si>
  <si>
    <t>W09 TOTTUS - PASCUA (PEDESTAL ANTIBRECHA)</t>
  </si>
  <si>
    <t>W02 MAYORISTA 10 - PAYLOADER TUCO (PAYLOADER AB)</t>
  </si>
  <si>
    <t>W02 UNIMARC - PAYLOADER TUCO (PAYLOADER AB)</t>
  </si>
  <si>
    <t>W02 SUPER 10 - PAYLOADER TUCO (PAYLOADER AB)</t>
  </si>
  <si>
    <t xml:space="preserve">Nutrición </t>
  </si>
  <si>
    <t>W02 UNIMARC - NATURNES (PAYLOADER)</t>
  </si>
  <si>
    <t>Payloaders SMU Naturnes</t>
  </si>
  <si>
    <t>Emilia Fuenzalida</t>
  </si>
  <si>
    <t>Sobremesones Naturnes UPA</t>
  </si>
  <si>
    <t>W02 UPA - NATURNES (SOBREMESONES)</t>
  </si>
  <si>
    <t>Helados</t>
  </si>
  <si>
    <t>PIZARRAS SPID</t>
  </si>
  <si>
    <t>PIZARRAS SMU</t>
  </si>
  <si>
    <t>W02 SPID - PIZARRAS SPID (PIZARRA)</t>
  </si>
  <si>
    <t>W02 SPID - PIZARRAS SPID (PORTA PIZARRA)</t>
  </si>
  <si>
    <t>W02 SPID - PIZARRAS SPID (BASE PORTA PIZARRA)</t>
  </si>
  <si>
    <t>W02 UNIMARC - PIZARRAS SMU (PIZARRA)</t>
  </si>
  <si>
    <t>W02 UNIMARC - PIZARRAS SMU (PORTA PIZARRA)</t>
  </si>
  <si>
    <t>W02 UNIMARC - PIZARRAS SMU (BASE PORTA PIZARRA)</t>
  </si>
  <si>
    <t>Chocolates</t>
  </si>
  <si>
    <t>Trencito Chocotrío</t>
  </si>
  <si>
    <t>W03 WALMART - TRENCITO CHOCOTRIO (PAYLOADER)</t>
  </si>
  <si>
    <t>Multicategoria</t>
  </si>
  <si>
    <t>W03 JUMBO - CAMPAÑA CORPORATIVA ENERO 2026</t>
  </si>
  <si>
    <t>W03 SISA - CAMPAÑA CORPORATIVA ENERO 2026</t>
  </si>
  <si>
    <t>W03 SMU - CAMPAÑA CORPORATIVA ENERO 2026</t>
  </si>
  <si>
    <t>W03 TOTTUS - CAMPAÑA CORPORATIVA ENERO 2026</t>
  </si>
  <si>
    <t>W03 WALMART - CAMPAÑA CORPORATIVA ENERO 2026</t>
  </si>
  <si>
    <t>CAMPAÑA CORPORATIVA</t>
  </si>
  <si>
    <t>CONCURSO SAVORY SSRR</t>
  </si>
  <si>
    <t>W04 SSRR - CONCURSO SAVORY (BIG BOY)</t>
  </si>
  <si>
    <t>W04 SSRR - CONCURSO SAVORY (CUPON)</t>
  </si>
  <si>
    <t>W04 SSRR - CONCURSO SAVORY (CUPONERA)</t>
  </si>
  <si>
    <t>W04 SSRR - CONCURSO SAVORY (MARCO PRECIO)</t>
  </si>
  <si>
    <t>W04 SSRR - CONCURSO SAVORY (PREMIO)</t>
  </si>
  <si>
    <t>W04 SSRR - CONCURSO SAVORY (LOMO NAVE)</t>
  </si>
  <si>
    <t>W04 SSRR - CONCURSO SAVORY (VIBRIN CHUPON)</t>
  </si>
  <si>
    <t>DÍA DE LOS ENAMORADOS</t>
  </si>
  <si>
    <t>W04 WALMART - DIA DE LOS ENAMORADOS (PAYLOADER)</t>
  </si>
  <si>
    <t>LLCC</t>
  </si>
  <si>
    <t>CREMA SIN LACTOSA</t>
  </si>
  <si>
    <t>W04 JUMBO - CREMA SIN LACTOSA (STICKER QR)</t>
  </si>
  <si>
    <t>W04 JUMBO - CREMA SIN LACTOSA (STOPPER)</t>
  </si>
  <si>
    <t>W04 SISA - CREMA SIN LACTOSA (LATERAL COLGANTE)</t>
  </si>
  <si>
    <t>W04 SISA - CREMA SIN LACTOSA (PAYLOADER)</t>
  </si>
  <si>
    <t>W04 SISA - CREMA SIN LACTOSA (STICKER QR)</t>
  </si>
  <si>
    <t>W04 SISA - CREMA SIN LACTOSA (STOPPER SISA)</t>
  </si>
  <si>
    <t>CAFÉ</t>
  </si>
  <si>
    <t>LECHE SUR</t>
  </si>
  <si>
    <t>STARBUCKS</t>
  </si>
  <si>
    <t>W04 WALMART - LECHE SUR (PAYLOADER)</t>
  </si>
  <si>
    <t>W04 WALMART - LECHE SUR (QR)</t>
  </si>
  <si>
    <t>W04 SSRR - TRITON LOLLAPALOOZA (PAYLOADER)</t>
  </si>
  <si>
    <t>W04 SSRR - CAMPAÑA CORPORATIVA ENERO 2026</t>
  </si>
  <si>
    <t>PAYLAODERS NATURNES SISA</t>
  </si>
  <si>
    <t>W05 SISA - NATURNES (PAYLOADER)</t>
  </si>
  <si>
    <t>W05 SISA - NATURNES (QR)</t>
  </si>
  <si>
    <t>W06 SSRR - DIA DE LOS ENAMORADOS (PAYLOADER)</t>
  </si>
  <si>
    <t>W06 SISA - DIA DE LOS ENAMORADOS (PAYLOADER)</t>
  </si>
  <si>
    <t>W06 JUMBO - DIA DE LOS ENAMORADOS (ISLA)</t>
  </si>
  <si>
    <t>PAYLOADERS NATURNES TOTTUS</t>
  </si>
  <si>
    <t>W06 TOTTUS - NATURNES (PAYLOADER)</t>
  </si>
  <si>
    <t>BTS TRAFICO WALMART</t>
  </si>
  <si>
    <t>W06 WALMART - BTS (CUBREPALLET)</t>
  </si>
  <si>
    <t>W06 WALMART - NATURNES (PAYLOADER CON GRAFICA)</t>
  </si>
  <si>
    <t>W06 WALMART - NATURNES (PAYLOADER SIN GRAFICA)</t>
  </si>
  <si>
    <t>PAYLAODERS LT 1 E2 WALMART</t>
  </si>
  <si>
    <t>PAYLOADERS SMU NATURNES</t>
  </si>
  <si>
    <t>W07 SMU - NATURNES (PAYLOADER)</t>
  </si>
  <si>
    <t>ACALORADO PERO CON HELADO</t>
  </si>
  <si>
    <t>W07 WALMART - CAMPAÑA DISTRIBUCION HELADOS (VIBRIN CHUPON)</t>
  </si>
  <si>
    <t>W07 WALMART - CAMPAÑA DISTRIBUCION HELADOS (SEPARADOR CHUPON)</t>
  </si>
  <si>
    <t>W07 SMU - CAMPAÑA DISTRIBUCION HELADOS (NAVE FRIO)</t>
  </si>
  <si>
    <t>W07 SMU - CAMPAÑA DISTRIBUCION HELADOS (VIBRIN CHUPON)</t>
  </si>
  <si>
    <t>BTS SMU</t>
  </si>
  <si>
    <t>W07 SMU - BTS (BOTADEROS)</t>
  </si>
  <si>
    <t>W07 SSRR - BTS (BOTADEROS)</t>
  </si>
  <si>
    <t>LT Acuenta Trencito Pascua</t>
  </si>
  <si>
    <t>W07 WALMART - TRENCITO PASCUA (PAYLOADER)</t>
  </si>
  <si>
    <t>Equity Sahne Nuss</t>
  </si>
  <si>
    <t>W07 WALMART - EQUITY SAHNE NUSS (PAYLOADER)</t>
  </si>
  <si>
    <t>PASCUA</t>
  </si>
  <si>
    <t>W07 SMU - ALVI PASCUA (BOTADERO)</t>
  </si>
  <si>
    <t>W07 SMU - ALVI PASCUA (ISLA)</t>
  </si>
  <si>
    <t>W07 SMU - ALVI PASCUA (PEDESTAL)</t>
  </si>
  <si>
    <t>W07 SMU - MAYORISTA 10 PASCUA (BOTADERO)</t>
  </si>
  <si>
    <t>W07 SMU - MAYORISTA 10 PASCUA (PEDESTAL)</t>
  </si>
  <si>
    <t>W07 SMU - SUPER 10 PASCUA (BOTADERO)</t>
  </si>
  <si>
    <t>W07 SMU - SUPER 10 PASCUA (PEDESTAL)</t>
  </si>
  <si>
    <t>W07 SMU - UNIMARC PASCUA (ARCO)</t>
  </si>
  <si>
    <t>W07 SMU - UNIMARC PASCUA (BOTADERO)</t>
  </si>
  <si>
    <t>W07 SMU - UNIMARC PASCUA (ISLA)</t>
  </si>
  <si>
    <t>W07 SMU - UNIMARC PASCUA (PEDESTAL)</t>
  </si>
  <si>
    <t>LT - MILO</t>
  </si>
  <si>
    <t>W07 WALMART - LT MILO (PAYLOADER)</t>
  </si>
  <si>
    <t>PIZARRAS SISA</t>
  </si>
  <si>
    <t>30-02-2026</t>
  </si>
  <si>
    <t>W09 JUMBO - CAMPAÑA AUDITORIA CREMA SIN LACTOSA (STOPPER)</t>
  </si>
  <si>
    <t>W09 SISA - CAMPAÑA AUDITORIA CREMA SIN LACTOSA (STOPPER)</t>
  </si>
  <si>
    <t>W08 WALMART - PASCUA WM (PAYLOADER)</t>
  </si>
  <si>
    <t>W08 WALMART - PASCUA WM (ISLA)</t>
  </si>
  <si>
    <t>W08 JUMBO - PASCUA JUMBO (PEDESTAL)</t>
  </si>
  <si>
    <t>W08 JUMBO - PASCUA JUMBO (CENEFA)</t>
  </si>
  <si>
    <t>W08 JUMBO - PASCUA JUMBO (BOTADERO)</t>
  </si>
  <si>
    <t>W08 SSRR - PASCUA SSRR (PAYLOADER)</t>
  </si>
  <si>
    <t>W08 SSRR - PASCUA SSRR (ISLA)</t>
  </si>
  <si>
    <t>W08 TOTTUS - PASCUA TOTTUS (PAYLOADER)</t>
  </si>
  <si>
    <t>W08 SISA - PASCUA SISA (PEDESTAL)</t>
  </si>
  <si>
    <t>W08 SISA - PASCUA SISA (CENEFA)</t>
  </si>
  <si>
    <t>W08 SISA - PASCUA SISA (BOTADERO)</t>
  </si>
  <si>
    <t>Paylaoders Campaña Fina Selección Tottus</t>
  </si>
  <si>
    <t>W12 TOTTUS - CAMPAÑA FINA SELECCION (PAYLOADER)</t>
  </si>
  <si>
    <t>W08 SISA - CAMPAÑA PIZARRAS SAVORY</t>
  </si>
  <si>
    <t>W12 JUMBO - CAMPAÑA MUNDO TRENCITO (ISLA)</t>
  </si>
  <si>
    <t>W12 SISA - CAMPAÑA MUNDO TRENCITO (PAYLOADER)</t>
  </si>
  <si>
    <t>W12 WALMART - LISTA DE TRAFICO (PAYLOADER)</t>
  </si>
  <si>
    <t>W12 SISA - EQUITY SAHNE NUSS (PAYLOADER)</t>
  </si>
  <si>
    <t>Tabletas KitKat</t>
  </si>
  <si>
    <t>W12 JUMBO - TABLETAS KITKAT (ISLA)</t>
  </si>
  <si>
    <t>Mundo Trencito</t>
  </si>
  <si>
    <t>Lista de Trafico L1E3</t>
  </si>
  <si>
    <t>Café</t>
  </si>
  <si>
    <t>Campaña Fina Selección</t>
  </si>
  <si>
    <t>W14 WALMART - CAMPAÑA FINA SELECCION (REVESTIMIENTO PACK CABECERAS)</t>
  </si>
  <si>
    <t>W14 WALMART - CAMPAÑA FINA SELECCION (CUBRE PALLETS)</t>
  </si>
  <si>
    <t>W14 WALMART - MUNDO TRENCITO (REVESTIMIENTO CABECERA)</t>
  </si>
  <si>
    <t>Corrida Milo</t>
  </si>
  <si>
    <t>W14 WALMART - CORRIDA MILO (REVESTIMIENTO CABECERA)</t>
  </si>
  <si>
    <t>W14 WALMART - CORRIDA MILO (CUBREPALLET)</t>
  </si>
  <si>
    <t>W14 SISA - CAMPAÑA FINA SELECCION (PAYLOADER)</t>
  </si>
  <si>
    <t>Dia de la Madre</t>
  </si>
  <si>
    <t>W14 TOTTUS - DIA DE LA MADRE (ISLA)</t>
  </si>
  <si>
    <t>W14 SMU - DIA DE LA MADRE (PAYLOADER)</t>
  </si>
  <si>
    <t>W14 WALMART - DIA DE LA MADRE (PAYLOADER)</t>
  </si>
  <si>
    <t>W15 TOTTUS - TABLETAS KIT KAT (PAYLOADER)</t>
  </si>
  <si>
    <t>W15 TOTTUS - TABLETAS KIT KAT (STOPPER)</t>
  </si>
  <si>
    <t>W15 SMU - TABLETAS KIT KAT (PAYLOADER)</t>
  </si>
  <si>
    <t>Venta asistida</t>
  </si>
  <si>
    <t>W16 TOTTUS - VENTA ASISTIDA (CANOA CHOCOLOVE)</t>
  </si>
  <si>
    <t>W16 TOTTUS - VENTA ASISTIDA (CANOA CAPRI)</t>
  </si>
  <si>
    <t>W14 SSRR - CORRIDA MILO (REVESTIMIENTO PAYLOADER)</t>
  </si>
  <si>
    <t>W14 SSRR - CORRIDA MILO (ESTRUCTURA PAYLOADER)</t>
  </si>
  <si>
    <t>W14 TOTTUS - CORRIDA MILO (ESTRUCTURA PAYLOADER MILO)</t>
  </si>
  <si>
    <t>W16 WALMART - BODEGAZO ACUENTA (PAYLOADER)</t>
  </si>
  <si>
    <t>W16 SSRR - DIA DE LA MADRE (PAYLOADER)</t>
  </si>
  <si>
    <t>W16 WALMART - AIR FRYER (GANCHERAS)</t>
  </si>
  <si>
    <t>Bodegazo 2</t>
  </si>
  <si>
    <t>Francisco Jordan</t>
  </si>
  <si>
    <t>Culinarios</t>
  </si>
  <si>
    <t>Air Fryer Walmart</t>
  </si>
  <si>
    <t>W17 WALMART - DIA DE LA MADRE (PAYLOADER)</t>
  </si>
  <si>
    <t>W17 ACUENTA - DIA DE LA MADRE (PAYLOADER)</t>
  </si>
  <si>
    <t>W17 SSRR - DIA DE LA MADRE (ISLA)</t>
  </si>
  <si>
    <t>W17 JUMBO - DIA DE LA MADRE (ISLA)</t>
  </si>
  <si>
    <t>Campaña Lacteos Culinarios</t>
  </si>
  <si>
    <t>Lista de trafico - Capri</t>
  </si>
  <si>
    <t>W17 WALMART - LISTA DE TRAFICO CAPRI (PAYLOADER)</t>
  </si>
  <si>
    <t>W17 WALMART - LLCC (PAYLOADER)</t>
  </si>
  <si>
    <t>Caldos SISA</t>
  </si>
  <si>
    <t>Air Fryer SISA</t>
  </si>
  <si>
    <t>Air Fryer JUMBO</t>
  </si>
  <si>
    <t>W18 SISA - CAMPAÑA CALDOS (PAYLOADER)</t>
  </si>
  <si>
    <t>W18 SISA - AIR FRYER (GANCHERAS)</t>
  </si>
  <si>
    <t>W18 JUMBO - AIR FRYER (GANCHERAS)</t>
  </si>
  <si>
    <t>W18 WALMART - CORRIDA MILO (REV. CABECERA)</t>
  </si>
  <si>
    <t>W18 WALMART - REPOSICION KIT KAT (PAYLOADER)</t>
  </si>
  <si>
    <t>Reposicion Payloader Kit Kat</t>
  </si>
  <si>
    <t>W18 SMU - CORRIDA MILO (PAYLOADER ANTIBRECHA)</t>
  </si>
  <si>
    <t>W18 SISA - CORRIDA MILO (PAYLOADER ANTIBRECHA)</t>
  </si>
  <si>
    <t>W19 TOTTUS - CALDOS TOTTUS (PAYLOADER)</t>
  </si>
  <si>
    <t>Caldos Tottus</t>
  </si>
  <si>
    <t>W20 SISA - AIRFRYER SISA (STOPPER)</t>
  </si>
  <si>
    <t>W20 JUMBO - AIRFRYER JUMBO (STOPPER)</t>
  </si>
  <si>
    <t>Mixes</t>
  </si>
  <si>
    <t>W20 SMU - CAMPAÑA MIXES (PAYLOADER)</t>
  </si>
  <si>
    <t>Nido</t>
  </si>
  <si>
    <t>W21 SISA - CAMPAÑA NIDO (PAYLOADER)</t>
  </si>
  <si>
    <t>Mega</t>
  </si>
  <si>
    <t>W21 WALMART - MEGA WM (CUBRECABECERA)</t>
  </si>
  <si>
    <t>W21 WALMART - MEGA WM (HUINCHA)</t>
  </si>
  <si>
    <t>W22 HIPER LIDER - MI SAZON (MINICABECERA)</t>
  </si>
  <si>
    <t>W22 HIPER LIDER - TUCO (MINICABECERA)</t>
  </si>
  <si>
    <t>W22 HIPER LIDER - CORRIDA MILO SANTIAGO (PAYLOADER)</t>
  </si>
  <si>
    <t>Onefood</t>
  </si>
  <si>
    <t>Tuco / Mi Sazón</t>
  </si>
  <si>
    <t>Corrida Milo Santiago</t>
  </si>
  <si>
    <t>W23 SISA - MUNDO TRENCITO (PAYLOADER)</t>
  </si>
  <si>
    <t>W23 HIPER LIDER - TRAFICO KIT KAT &amp; SAHNENUSS (PAYLOADER)</t>
  </si>
  <si>
    <t>W23 JUMBO - MUNDO TRENCITO (ISLAS)</t>
  </si>
  <si>
    <t>W23 HIPER LIDER - CAMPAÑA TRENCITO (HOTSPOT)</t>
  </si>
  <si>
    <t>Tráfico KitKat y SN</t>
  </si>
  <si>
    <t>Tráfico Trencito Galletas</t>
  </si>
  <si>
    <t>W23 HIPER LIDER - CORRIDA MILO SANTIAGO (CUBREPALLET)</t>
  </si>
  <si>
    <t>W23 LIDER EXPRESS - CORRIDA MILO SANTIAGO (REV. CABECERA)</t>
  </si>
  <si>
    <t>W23 ACUENTA - CORRIDA MILO SANTIAGO (REV. CABECERA)</t>
  </si>
  <si>
    <t>W23 LIDER EXPRESS - NATURNESS (PAYLOADER)</t>
  </si>
  <si>
    <t>W23 LIDER EXPRESS - NATURNESS (STICKER)</t>
  </si>
  <si>
    <t>Naturness</t>
  </si>
  <si>
    <t>W23 UNIMARC - DISNEY SMU (VIBRIN CHUPON)</t>
  </si>
  <si>
    <t>W23 UNIMARC - DISNEY SMU (BIG BOY)</t>
  </si>
  <si>
    <t>W23 HIPER LIDER - HELADO KIT KAT (HUINCHA)</t>
  </si>
  <si>
    <t>W23 HIPER LIDER - HELADO KIT KAT (VIBRIN CHUPON)</t>
  </si>
  <si>
    <t>W23 HIPER LIDER - DIA DEL PADRE (PAYLOADER)</t>
  </si>
  <si>
    <t>Yogur Batido Nestlé</t>
  </si>
  <si>
    <t>Disney</t>
  </si>
  <si>
    <t>Trafico Kit Kat</t>
  </si>
  <si>
    <t>Dia del papá</t>
  </si>
  <si>
    <t>W24 SSRR - DISNEY SSRR (STOPPER)</t>
  </si>
  <si>
    <t>W24 SSRR - DISNEY SSRR (VIBRIN CHUPON)</t>
  </si>
  <si>
    <t>Cafe</t>
  </si>
  <si>
    <t>W25 ACUENTA - LCA (PAYLOADER)</t>
  </si>
  <si>
    <t>Refrigerados</t>
  </si>
  <si>
    <t>Magnesio</t>
  </si>
  <si>
    <t>W25 JUMBO - MAGNESIO (STOPPER CON PISADO)</t>
  </si>
  <si>
    <t>W25 JUMBO - MAGNESIO (STOPPER CON PINZA)</t>
  </si>
  <si>
    <t>W25 UNIMARC - CALDOS SMU (PAYLOADER CALDOS)</t>
  </si>
  <si>
    <t>Maggi</t>
  </si>
  <si>
    <t>Caldos SMU</t>
  </si>
  <si>
    <t>W25 HIPER LIDER - DISNEY WM (CUBRECABECERA)</t>
  </si>
  <si>
    <t>REGISTRO DE GESTIONES ADICIONALES ABL</t>
  </si>
  <si>
    <t>UNIMARC PAYLOADER AB</t>
  </si>
  <si>
    <t>W05 SISA CAMPAÑA AUDITORIA - TRITONAZO (HOTSPOT) ENERO 2026</t>
  </si>
  <si>
    <t>W06 WALMART - NATURNES (PAYLOADER)</t>
  </si>
  <si>
    <t>W07 WALMART - CAMPAÑA DISTRIBUCION HELADOS (LATERAL DERECHO) (AMARILLOS)</t>
  </si>
  <si>
    <t>W07 WALMART - CAMPAÑA DISTRIBUCION HELADOS (LATERAL IZQUIERDO) (AZULES)</t>
  </si>
  <si>
    <t>W08 JUMBO CAMPAÑA AUDITORIA -  DIA DE LOS ENAMORADOS (ISLA)</t>
  </si>
  <si>
    <t>W17 JUMBO - CAMPAÑA AUDITORIA TABLETAS KITKAT (ISLA)</t>
  </si>
  <si>
    <t>W17 JUMBO - CAMPAÑA AUDITORIA MUNDO TRENCITO (ISLA)</t>
  </si>
  <si>
    <t>W22 HIPER LIDER - MEGA WM (CUBRECABECERA)</t>
  </si>
  <si>
    <t>W22 UNIMARC - CORRIDA MILO SANTIAGO (PAYLOADER)</t>
  </si>
  <si>
    <t>W22 HIPER LIDER - AIRFRYER (GANCHERAS)</t>
  </si>
  <si>
    <t>W22 TOTTUS - NESCAFE MIXES (PAYLOADER MIXES)</t>
  </si>
  <si>
    <t>W26 WALMART - BACK UP PDQ (PAYLOADER)</t>
  </si>
  <si>
    <t>W26 SISA - CAMPAÑA MIXES SISA (PAYLOADER MIXES)</t>
  </si>
  <si>
    <t>W26 SMU - TRAFICO SAHNE NUSS (PAYLOADER)</t>
  </si>
  <si>
    <t>W26 SMU - DISNEY WOODY (BIG BOY)</t>
  </si>
  <si>
    <t>W26 SPID - CUBRE REFRI SPID (CUBRE REFRI)</t>
  </si>
  <si>
    <t>id</t>
  </si>
  <si>
    <t>nombre</t>
  </si>
  <si>
    <t>Amanda Diaz</t>
  </si>
  <si>
    <t>Maria Emilia Fuenzalida</t>
  </si>
  <si>
    <t>Maria Ignacia Ariztia</t>
  </si>
  <si>
    <t>ID</t>
  </si>
  <si>
    <t>W04 WALMART - STARBUCKS (PAYLOADER)</t>
  </si>
  <si>
    <t>W04 WALMART - STARBUCKS (QR)</t>
  </si>
  <si>
    <t>AMANDA DIAZ</t>
  </si>
  <si>
    <t>JOAQUIN MARZAN</t>
  </si>
  <si>
    <t>MARIA EMILIA FUENZALIDA</t>
  </si>
  <si>
    <t>EMILIA FUENZALIDA</t>
  </si>
  <si>
    <t>MARIA IGNACIA ARIZTIA</t>
  </si>
  <si>
    <t>FRANCISCO JORDAN</t>
  </si>
  <si>
    <t>NOMBRE</t>
  </si>
  <si>
    <t>JUGUETERIA</t>
  </si>
  <si>
    <t>GENERALMENTE ASOCIADO A HASBRO</t>
  </si>
  <si>
    <t>LIMPIEZA</t>
  </si>
  <si>
    <t>ASOCIADO A MATERIAL DE HIGIENE</t>
  </si>
  <si>
    <t>CHOCOLATES</t>
  </si>
  <si>
    <t>ONEFOOD</t>
  </si>
  <si>
    <t>GALLETAS</t>
  </si>
  <si>
    <t>NUTRICION</t>
  </si>
  <si>
    <t>HELADOS</t>
  </si>
  <si>
    <t>MULTICATEGORIA</t>
  </si>
  <si>
    <t>CAFE</t>
  </si>
  <si>
    <t>CULINARIOS</t>
  </si>
  <si>
    <t>YOGUR BATIDO NESTLE</t>
  </si>
  <si>
    <t>W28 SISA - CHANDELLE SISA (STOPPER DOBLE CONTACTO)</t>
  </si>
  <si>
    <t>W28 SISA - CHANDELLE SISA (STOPPER VENTOSAS)</t>
  </si>
  <si>
    <t>W28 SSRR - CHANDELLE SSRR (VIBRIN)</t>
  </si>
  <si>
    <t>W28 TOTTUS - CHANDELLE TOTTUS (STOPPER DOBLE CONTACTO)</t>
  </si>
  <si>
    <t>W28 TOTTUS - CHANDELLE TOTTUS (STOPPER VENTOSAS)</t>
  </si>
  <si>
    <t>W28 TOTTUS - DISNEY TOTTUS (STOPPER)</t>
  </si>
  <si>
    <t>W29 TOTTUS - LCA (PAYLOADER)</t>
  </si>
  <si>
    <t>W29 UNIMARC - BIG BOY FINAL (BIG BOY)</t>
  </si>
  <si>
    <t>W30 HIPER LIDER - DIA DEL NIÑO WALMART (ISLAS)</t>
  </si>
  <si>
    <t>W30 HIPER LIDER - DIA DEL NIÑO WALMART (PAYLOADER)</t>
  </si>
  <si>
    <t>W30 HIPER LIDER - TRENCITO TRAFICO (PAYLOADER)</t>
  </si>
  <si>
    <t>W30 JUMBO - MES DE LA CHILENIDAD CENCO (ESQUINERO)</t>
  </si>
  <si>
    <t>W30 JUMBO - STOPPER CENCO DISNEY (GRIP VENTOSA)</t>
  </si>
  <si>
    <t>W30 JUMBO - STOPPER CENCO DISNEY (STOPPER)</t>
  </si>
  <si>
    <t>W30 SISA - MES DE LA CHILENIDAD CENCO (PAYLOADER)</t>
  </si>
  <si>
    <t>W30 SSRR - CAMPAÑA MCKAY (BIG BOY)</t>
  </si>
  <si>
    <t>W30 SSRR - CAMPAÑA MCKAY (GANCHERA)</t>
  </si>
  <si>
    <t>W30 SSRR - CAMPAÑA MCKAY (PAYLOADER)</t>
  </si>
  <si>
    <t>W30 SSRR - CAMPAÑA MCKAY (VIBRIN)</t>
  </si>
  <si>
    <t>W30 SSRR - TRENCITO CHOCOLETRAS (AFICHE)</t>
  </si>
  <si>
    <t>W30 SSRR - TRENCITO CHOCOLETRAS (COLGANTE)</t>
  </si>
  <si>
    <t>W30 SSRR - TRENCITO CHOCOLETRAS (PARANTE)</t>
  </si>
  <si>
    <t>W30 SSRR - TRENCITO CHOCOLETRAS (VIBRIN)</t>
  </si>
  <si>
    <t>Payloader Mixes SISA</t>
  </si>
  <si>
    <t>Cubre Refri SPID</t>
  </si>
  <si>
    <t>Tráfico Sahne Nuss</t>
  </si>
  <si>
    <t>Big Boy Final</t>
  </si>
  <si>
    <t>Campaña Mckay</t>
  </si>
  <si>
    <t>Trencito Chocoletras</t>
  </si>
  <si>
    <t>Chandelle SISA</t>
  </si>
  <si>
    <t>Chandelle SSRR</t>
  </si>
  <si>
    <t>Chandelle TOTTUS</t>
  </si>
  <si>
    <t>Disney TOTTUS</t>
  </si>
  <si>
    <t>Leche Condensada</t>
  </si>
  <si>
    <t>Payloader LCA TOTTUS</t>
  </si>
  <si>
    <t>Dia del Niño</t>
  </si>
  <si>
    <t>Trencito Tráfico</t>
  </si>
  <si>
    <t>Mes de la Chilenidad Cenco</t>
  </si>
  <si>
    <t>Stopper Disney Jumbo</t>
  </si>
  <si>
    <t>W31 JUMBO - TRENCITO CHOCOLETRAS (ISLA)</t>
  </si>
  <si>
    <t>W31 TOTTUS - CAMPAÑA MCKAY (HOTSPOT)</t>
  </si>
  <si>
    <t>W31 TOTTUS - CAMPAÑA MCKAY (BIG BOY)</t>
  </si>
  <si>
    <t>Esquineros Leche Condensada</t>
  </si>
  <si>
    <t>W31 SMU - ESQUINERO LECHE CONDENSADA (ESQUINERO PALLET LLCC)</t>
  </si>
  <si>
    <t>W31 UNIMARC - CALDOS SMU (PAYLOADER)</t>
  </si>
  <si>
    <t>W31 SISA - CAMPAÑA MCKAY (GANCHERAS)</t>
  </si>
  <si>
    <t>W31 SISA - CAMPAÑA MCKAY (REV. CABECERA)</t>
  </si>
  <si>
    <t>W31 JUMBO - CAMPAÑA MCKAY (GANCHERAS)</t>
  </si>
  <si>
    <t>W31 JUMBO - CAMPAÑA MCKAY (HOTSPOT)</t>
  </si>
  <si>
    <t>W31 JUMBO - CAMPAÑA MCKAY (REV. CABECERA)</t>
  </si>
  <si>
    <t>W32 SMU - CAMPAÑA MCKAY (ISLA)</t>
  </si>
  <si>
    <t>W32 SMU - CAMPAÑA MCKAY (CUBREPALLET)</t>
  </si>
  <si>
    <t>W32 SMU - CAMPAÑA MCKAY (VIBRIN)</t>
  </si>
  <si>
    <t>W32 SMU - CAMPAÑA MCKAY (REV. CABECERA)</t>
  </si>
  <si>
    <t>W32 ACUENTA - CHILENIDAD ACUENTA (PAYLOADER)</t>
  </si>
  <si>
    <t>W32 TOTTUS - MILO SABORIZANTES (PAYLOADER)</t>
  </si>
  <si>
    <t>W32 LIDER EXPRESS - CHILENIDAD EXPRESS (REV. CABECERA)</t>
  </si>
  <si>
    <t>W32 TOTTUS - CAMPAÑA MCKAY (PAYLOADER)</t>
  </si>
  <si>
    <t>W32 TOTTUS - CAMPAÑA MCKAY (ARCO)</t>
  </si>
  <si>
    <t>Chilenidad express</t>
  </si>
  <si>
    <t>Chilenidad Acuenta</t>
  </si>
  <si>
    <t>CMB</t>
  </si>
  <si>
    <t>Milo Saborizantes y Lacteos</t>
  </si>
  <si>
    <t>W33 HIPER LIDER - CALDOS WALMART (PAYLOADER)</t>
  </si>
  <si>
    <t>W33 HIPER LIDER - CAMPAÑA MCKAY (GLORIFICADOR POP UP)</t>
  </si>
  <si>
    <t>W33 HIPER LIDER - NESTLE ESENCIAL (HUINCHA)</t>
  </si>
  <si>
    <t>W33 HIPER LIDER - NESTLE ESENCIAL (LAT CABECERA)</t>
  </si>
  <si>
    <t>W33 HIPER LIDER - NESTLE ESENCIAL (STOPPER)</t>
  </si>
  <si>
    <t>W33 JUMBO - NESTLE ESENCIAL (LAT CABECERA)</t>
  </si>
  <si>
    <t>W33 JUMBO - NESTLE ESENCIAL (MARCO PUERTA)</t>
  </si>
  <si>
    <t>W33 JUMBO - NESTLE ESENCIAL (STOPPER)</t>
  </si>
  <si>
    <t>W33 LIDER EXPRESS - TRAFICO NATURNES (PAYLOADER)</t>
  </si>
  <si>
    <t>W33 LIDER EXPRESS - TRAFICO NATURNES (STOPPER)</t>
  </si>
  <si>
    <t>W33 SSRR - CHILENIDAD SSRR (REV. CABECERAS)</t>
  </si>
  <si>
    <t>W33 SSRR - MES DE LA CHILENIDAD (ISLA)</t>
  </si>
  <si>
    <t>W33 SSRR - NESTLE ESENCIAL (FLEJERA)</t>
  </si>
  <si>
    <t>W33 SSRR - NESTLE ESENCIAL (STOPPER)</t>
  </si>
  <si>
    <t>W34 HIPER LIDER - JALEA CENTELLA (STOPPER)</t>
  </si>
  <si>
    <t>W34 HIPER LIDER - LISTA TRAFICO WM (PAYLOADER)</t>
  </si>
  <si>
    <t>W34 JUMBO - FIRE SAHNE NUSS (LATERAL COLGANTE)</t>
  </si>
  <si>
    <t>W34 JUMBO - FIRE SAHNE NUSS (STOPPER)</t>
  </si>
  <si>
    <t>W34 TOTTUS - FIRE SAHNE NUSS (STOPPER)</t>
  </si>
  <si>
    <t>W34 SISA - JALEA CENTELLA (STOPPER)</t>
  </si>
  <si>
    <t>W34 JUMBO - JALEA CENTELLA (STOPPER)</t>
  </si>
  <si>
    <t>JALEA CENTELLA</t>
  </si>
  <si>
    <t>Fire Sahne Nuss</t>
  </si>
  <si>
    <t>Lista Trafico WM</t>
  </si>
  <si>
    <t>Trafico Wm</t>
  </si>
  <si>
    <t>Campaña escencial Jumbo</t>
  </si>
  <si>
    <t>Campaña escencial SSRR</t>
  </si>
  <si>
    <t>Campaña escencial</t>
  </si>
  <si>
    <t>Chilenidad SSRR</t>
  </si>
  <si>
    <t>Payloader Caldos Walmart</t>
  </si>
  <si>
    <t>Caldos</t>
  </si>
  <si>
    <t>Coffee Mate</t>
  </si>
  <si>
    <t>Mes de la Chilenidad</t>
  </si>
  <si>
    <t>W33 HIPER LIDER - MES DE LA CHILENIDAD (ISLA)</t>
  </si>
  <si>
    <t>W33 HIPER LIDER - COFFEE MATE (PAYLOADER)</t>
  </si>
  <si>
    <t>W34 WALMART - PLAN PIÑA WM (CUBRE CABECERA)</t>
  </si>
  <si>
    <t>W34 WALMART - PLAN PIÑA WM (HUINCHA)</t>
  </si>
  <si>
    <t>W34 WALMART - PLAN PIÑA WM (CHUPON)</t>
  </si>
  <si>
    <t>W34 JUMBO - PLAN PIÑA JUMBO (VIBRIN)</t>
  </si>
  <si>
    <t>W34 JUMBO - PLAN PIÑA JUMBO (MARCO REFRI)</t>
  </si>
  <si>
    <t>W34 JUMBO - PLAN PIÑA JUMBO (LOMO NAVE)</t>
  </si>
  <si>
    <t>W34 JUMBO - PLAN PIÑA JUMBO (CUBRE CABECERA)</t>
  </si>
  <si>
    <t>W34 SISA - PLAN PIÑA SISA (VIBRIN)</t>
  </si>
  <si>
    <t>W34 SISA - PLAN PIÑA SISA (MARCO REFRI)</t>
  </si>
  <si>
    <t>W34 SISA - PLAN PIÑA SISA (LOMO NAVE)</t>
  </si>
  <si>
    <t>W34 SSRR - PLAN PIÑA SSRR (STOPPER SSRR)</t>
  </si>
  <si>
    <t>W34 SSRR - PLAN PIÑA SSRR (VIBRIN REDONDO)</t>
  </si>
  <si>
    <t>W34 SSRR - PLAN PIÑA SSRR (NAVE CABECERA)</t>
  </si>
  <si>
    <t>W34 TOTTUS - PLAN PIÑA TOTTUS (STOPPER)</t>
  </si>
  <si>
    <t>W34 TOTTUS - PLAN PIÑA TOTTUS (CENEFA)</t>
  </si>
  <si>
    <t>W34 TOTTUS - PLAN PIÑA TOTTUS (STICKER)</t>
  </si>
  <si>
    <t>W34 TOTTUS - PLAN PIÑA TOTTUS (CABECERA)</t>
  </si>
  <si>
    <t>W34 TOTTUS - FIRE SAHNE NUSS (COLGANTE)</t>
  </si>
  <si>
    <t>Plan Piña Jumbo</t>
  </si>
  <si>
    <t>Plan Piña Tottus</t>
  </si>
  <si>
    <t>Plan Piña WM</t>
  </si>
  <si>
    <t>Plan Piña SISA</t>
  </si>
  <si>
    <t>Plan Piña</t>
  </si>
  <si>
    <t>Lista Trafico Acuenta</t>
  </si>
  <si>
    <t>W35 ACUENTA - LISTA DE TRAFICO (PAYLOADER)</t>
  </si>
  <si>
    <t>Reposicion Payloader Milo</t>
  </si>
  <si>
    <t>PDQ Leche Condensada</t>
  </si>
  <si>
    <t>W35 HIPER LIDER - REPOSICION MILO (PAYLOADER)</t>
  </si>
  <si>
    <t>W35 SISA - CHILENIDAD SISA (CUBREPALLET)</t>
  </si>
  <si>
    <t>W38 TOTTUS - CAMPAÑA ESENCIAL TOTTUS (CABECERA)</t>
  </si>
  <si>
    <t>W38 TOTTUS - CAMPAÑA ESENCIAL TOTTUS (STOPPER)</t>
  </si>
  <si>
    <t>Campaña Esencial Tottus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</si>
</sst>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0"/>
      <name val="HelveticaNeue"/>
      <family val="2"/>
    </font>
    <font>
      <sz val="9"/>
      <color rgb="FFFF0000"/>
      <name val="HelveticaNeue"/>
      <family val="2"/>
    </font>
    <font>
      <b/>
      <sz val="9"/>
      <color theme="0"/>
      <name val="HelveticaNeue"/>
    </font>
    <font>
      <sz val="9"/>
      <color theme="1"/>
      <name val="HelveticaNeue"/>
      <family val="2"/>
    </font>
    <font>
      <sz val="10"/>
      <color theme="1"/>
      <name val="Aptos Narrow"/>
      <family val="2"/>
      <scheme val="minor"/>
    </font>
    <font>
      <b/>
      <sz val="12"/>
      <color rgb="FF1F2937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3C38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</borders>
  <cellStyleXfs count="2">
    <xf numFmtId="0" fontId="0" fillId="0" borderId="0"/>
    <xf numFmtId="0" fontId="1" fillId="0" borderId="4"/>
  </cellStyleXfs>
  <cellXfs count="3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14" fontId="0" fillId="3" borderId="2" xfId="0" applyNumberFormat="1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left" vertical="center"/>
    </xf>
    <xf numFmtId="14" fontId="0" fillId="5" borderId="2" xfId="0" applyNumberFormat="1" applyFill="1" applyBorder="1" applyAlignment="1">
      <alignment horizontal="left" vertical="center"/>
    </xf>
    <xf numFmtId="14" fontId="0" fillId="7" borderId="2" xfId="0" applyNumberFormat="1" applyFill="1" applyBorder="1" applyAlignment="1">
      <alignment horizontal="left" vertical="center"/>
    </xf>
    <xf numFmtId="14" fontId="0" fillId="6" borderId="2" xfId="0" applyNumberForma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4" fillId="8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5" fillId="6" borderId="1" xfId="0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14" fontId="0" fillId="0" borderId="0" xfId="0" applyNumberFormat="1"/>
    <xf numFmtId="14" fontId="0" fillId="0" borderId="3" xfId="0" applyNumberFormat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4" fontId="6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0" fillId="0" borderId="2" xfId="0" applyBorder="1"/>
    <xf numFmtId="14" fontId="2" fillId="2" borderId="5" xfId="0" applyNumberFormat="1" applyFont="1" applyFill="1" applyBorder="1" applyAlignment="1">
      <alignment horizontal="left" vertical="center" wrapText="1"/>
    </xf>
    <xf numFmtId="0" fontId="7" fillId="0" borderId="0" xfId="0" applyFont="1"/>
    <xf numFmtId="0" fontId="7" fillId="9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/>
    </xf>
    <xf numFmtId="22" fontId="0" fillId="0" borderId="0" xfId="0" applyNumberFormat="1" applyAlignment="1">
      <alignment vertical="center"/>
    </xf>
  </cellXfs>
  <cellStyles count="2">
    <cellStyle name="Normal" xfId="0" builtinId="0"/>
    <cellStyle name="style_cell_13-1" xfId="1" xr:uid="{007C86FB-D393-49D1-885C-0C6E86429D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Despachos%20MC%20(Formato%20bitacor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PENDIENTE"/>
      <sheetName val="PANEL DE CONTROL"/>
      <sheetName val="Campañas agrupadas"/>
      <sheetName val="Sharepoint "/>
      <sheetName val="DRIVE SEGUIMIENTO"/>
      <sheetName val="Estado_Despacho_Nestle"/>
      <sheetName val="BD_CD"/>
      <sheetName val="BD_Estado_Despacho"/>
      <sheetName val="BD_CD FINAL"/>
      <sheetName val="ESTADO RETIRO"/>
      <sheetName val="GUIAS DE DESPACHO"/>
      <sheetName val="ESTADO BODEGA"/>
      <sheetName val="MATERIAL PROGRAMADO"/>
      <sheetName val="Cuadros_Apoyo"/>
      <sheetName val="Nombre campañas cargadas"/>
    </sheetNames>
    <sheetDataSet>
      <sheetData sheetId="0" refreshError="1"/>
      <sheetData sheetId="1">
        <row r="650">
          <cell r="R650" t="str">
            <v>W8 FARMACIA INDEPENDIENTE - MATERIAL (PAYLOADER)</v>
          </cell>
        </row>
        <row r="651">
          <cell r="R651" t="str">
            <v>W8 FARMACIA INDEPENDIENTE - MATERIAL (ANTIBRECHA)</v>
          </cell>
        </row>
        <row r="652">
          <cell r="R652" t="str">
            <v>W8 FARMACIA INDEPENDIENTE - MATERIAL (DESCOLOCADOR DE ALARMAS)</v>
          </cell>
        </row>
        <row r="653">
          <cell r="R653" t="str">
            <v>W8 FARMACIA INDEPENDIENTE - MATERIAL (ALARMAS)</v>
          </cell>
        </row>
        <row r="654">
          <cell r="R654" t="str">
            <v>W9 HIPER LIDER - LISTA 2  PAYLOADER TRENCITO SN(PAYLOADER)</v>
          </cell>
        </row>
        <row r="655">
          <cell r="R655" t="str">
            <v>W9 LIDER EXPRESS - LISTA 2  PAYLOADER TRENCITO SN(PAYLOADER)</v>
          </cell>
        </row>
        <row r="656">
          <cell r="R656" t="str">
            <v>W7 HIPER LIDER - NIDO BTS (REVESTIMIENTO)</v>
          </cell>
        </row>
        <row r="657">
          <cell r="R657" t="str">
            <v>W7 HIPER LIDER - NIDO BTS (PAYLOADER)</v>
          </cell>
        </row>
        <row r="658">
          <cell r="R658" t="str">
            <v>W7 HIPER LIDER - NIDO BTS (STICKER QR)</v>
          </cell>
        </row>
        <row r="659">
          <cell r="R659" t="str">
            <v>W7 LIDER EXPRESS - NIDO BTS (REVESTIMIENTO)</v>
          </cell>
        </row>
        <row r="660">
          <cell r="R660" t="str">
            <v>W7 LIDER EXPRESS - NIDO BTS (STICKER QR)</v>
          </cell>
        </row>
        <row r="661">
          <cell r="R661" t="str">
            <v>W9 SSRR - BICICLETAS Y MATERIAL PARA CONCURSO (BICICLETA)</v>
          </cell>
        </row>
        <row r="662">
          <cell r="R662" t="str">
            <v>W9 SSRR - BICICLETAS Y MATERIAL PARA CONCURSO (REVESTIMIENTO ISLA)</v>
          </cell>
        </row>
        <row r="663">
          <cell r="R663" t="str">
            <v>W9 SSRR - BICICLETAS Y MATERIAL PARA CONCURSO (REVESTIMIENTO LATERAL DE CABECERA)</v>
          </cell>
        </row>
        <row r="664">
          <cell r="R664" t="str">
            <v>W9 SSRR - BICICLETAS Y MATERIAL PARA CONCURSO (STOPPER VIBRIN)</v>
          </cell>
        </row>
        <row r="665">
          <cell r="R665" t="str">
            <v>W9 SSRR - BICICLETAS Y MATERIAL PARA CONCURSO (STOPPER VIBRIN)</v>
          </cell>
        </row>
        <row r="666">
          <cell r="R666" t="str">
            <v>W9 SSRR - BICICLETAS Y MATERIAL PARA CONCURSO (BANDEJA EN L)</v>
          </cell>
        </row>
        <row r="667">
          <cell r="R667" t="str">
            <v>W9 SSRR - BICICLETAS Y MATERIAL PARA CONCURSO (PENDON)</v>
          </cell>
        </row>
        <row r="668">
          <cell r="R668" t="str">
            <v>W9 SSRR - BICICLETAS Y MATERIAL PARA CONCURSO (CUPONERA CONCURSO)</v>
          </cell>
        </row>
        <row r="669">
          <cell r="R669" t="str">
            <v>W9 SSRR - BICICLETAS Y MATERIAL PARA CONCURSO (BUZON)</v>
          </cell>
        </row>
        <row r="670">
          <cell r="R670" t="str">
            <v>W9 JUMBO - NESTLÉ PASCUA 2024(EXHIBICION COMPLETA)</v>
          </cell>
        </row>
        <row r="671">
          <cell r="R671" t="str">
            <v>W9 JUMBO - NESTLÉ PASCUA 2024(EXHIBICION MEDIA)</v>
          </cell>
        </row>
        <row r="672">
          <cell r="R672" t="str">
            <v>W9 TOTTUS - MATERIALES CERELAC (GANCHERA)</v>
          </cell>
        </row>
        <row r="673">
          <cell r="R673" t="str">
            <v>W9 TOTTUS - MATERIALES CERELAC (BANDEJA)</v>
          </cell>
        </row>
        <row r="674">
          <cell r="R674" t="str">
            <v>W11 HIPER LIDER - ISLAS NESTLÉ RENUEVA TU CASA (ISLA)</v>
          </cell>
        </row>
        <row r="675">
          <cell r="R675" t="str">
            <v>W10 SISA - REEMPLAZO GRÁFICA TRITÓN  LOLLAPALOOZA(LATERAL FLEJERA CENEFA KIT TARUGOS)</v>
          </cell>
        </row>
        <row r="676">
          <cell r="R676" t="str">
            <v>W10 SISA - REEMPLAZO GRÁFICA TRITÓN  LOLLAPALOOZA(LATERAL FLEJERA CENEFA KIT TARUGOS)</v>
          </cell>
        </row>
        <row r="677">
          <cell r="R677" t="str">
            <v>W10 SISA - REEMPLAZO GRÁFICA TRITÓN  LOLLAPALOOZA(LATERAL FLEJERA CENEFA KIT TARUGOS)</v>
          </cell>
        </row>
        <row r="678">
          <cell r="R678" t="str">
            <v>W10 SISA - REEMPLAZO GRÁFICA TRITÓN  LOLLAPALOOZA(LATERAL FLEJERA CENEFA KIT TARUGOS)</v>
          </cell>
        </row>
        <row r="679">
          <cell r="R679" t="str">
            <v>W11 UNIMARC - PAYLOADERS MILO GALLETAS(PAYLOADER)</v>
          </cell>
        </row>
        <row r="680">
          <cell r="R680" t="str">
            <v>W9 ESMAX - SALAS ESMAX PASCUA 2024 (GANCHERA)</v>
          </cell>
        </row>
        <row r="681">
          <cell r="R681" t="str">
            <v>W12 SSRR -  NIDO BTS (REVESTIMIENTO ISLA)</v>
          </cell>
        </row>
        <row r="682">
          <cell r="R682" t="str">
            <v>W12 SSRR -  NIDO BTS (REVESTIMIENTO LATERAL)</v>
          </cell>
        </row>
        <row r="683">
          <cell r="R683" t="str">
            <v>W12 SSRR -  NIDO BTS (PAYLOADER)</v>
          </cell>
        </row>
        <row r="684">
          <cell r="R684" t="str">
            <v>W12 SSRR -  NIDO BTS (STOPPER)</v>
          </cell>
        </row>
        <row r="685">
          <cell r="R685" t="str">
            <v>W11 UNIMARC - NIDO BTS (REVESTIMIENTO CABECERA)</v>
          </cell>
        </row>
        <row r="686">
          <cell r="R686" t="str">
            <v>W12 SSRR - CORRIDA MILO TEMUCO (REVESTIMIENTO LATERAL)</v>
          </cell>
        </row>
        <row r="687">
          <cell r="R687" t="str">
            <v>W12 SSRR - CORRIDA MILO TEMUCO (PAYLOADER)</v>
          </cell>
        </row>
        <row r="688">
          <cell r="R688" t="str">
            <v>W12 SSRR - CORRIDA MILO TEMUCO (STOPPER VIBRIN)</v>
          </cell>
        </row>
        <row r="689">
          <cell r="R689" t="str">
            <v>W12 SSRR - CORRIDA MILO TEMUCO (STOPPER VIBRIN)</v>
          </cell>
        </row>
        <row r="691">
          <cell r="R691" t="str">
            <v>W8 HIPER LIDER - CORRIDA MILO TEMUCO (VIBRIN FLEJERA STOPPER)</v>
          </cell>
        </row>
        <row r="692">
          <cell r="R692" t="str">
            <v>W8 HIPER LIDER - CORRIDA MILO TEMUCO (VIBRIN FLEJERA STOPPER)</v>
          </cell>
        </row>
        <row r="693">
          <cell r="R693" t="str">
            <v>W8 LIDER EXPRESS - CORRIDA MILO TEMUCO (VIBRIN FLEJERA STOPPER)</v>
          </cell>
        </row>
        <row r="694">
          <cell r="R694" t="str">
            <v>W8 LIDER EXPRESS - CORRIDA MILO TEMUCO (VIBRIN FLEJERA STOPPER)</v>
          </cell>
        </row>
        <row r="695">
          <cell r="R695" t="str">
            <v>W8 LIDER EXPRESS - CORRIDA MILO TEMUCO (VIBRIN FLEJERA STOPPER)</v>
          </cell>
        </row>
        <row r="696">
          <cell r="R696" t="str">
            <v>W8 JUMBO - CORRIDA MILO TEMUCO (VIBRIN FLEJERA STOPPER)</v>
          </cell>
        </row>
        <row r="697">
          <cell r="R697" t="str">
            <v>W8 JUMBO - CORRIDA MILO TEMUCO (VIBRIN FLEJERA STOPPER)</v>
          </cell>
        </row>
        <row r="698">
          <cell r="R698" t="str">
            <v>W8 JUMBO - CORRIDA MILO TEMUCO (VIBRIN FLEJERA STOPPER)</v>
          </cell>
        </row>
        <row r="699">
          <cell r="R699" t="str">
            <v>W8 SISA - CORRIDA MILO TEMUCO (VIBRIN FLEJERA STOPPER)</v>
          </cell>
        </row>
        <row r="700">
          <cell r="R700" t="str">
            <v>W8 SISA - CORRIDA MILO TEMUCO (VIBRIN FLEJERA STOPPER)</v>
          </cell>
        </row>
        <row r="701">
          <cell r="R701" t="str">
            <v>W8 SISA - CORRIDA MILO TEMUCO (VIBRIN FLEJERA STOPPER)</v>
          </cell>
        </row>
        <row r="702">
          <cell r="R702" t="str">
            <v>W8 UNIMARC - CORRIDA MILO TEMUCO (VIBRIN FLEJERA STOPPER)</v>
          </cell>
        </row>
        <row r="703">
          <cell r="R703" t="str">
            <v>W8 UNIMARC - CORRIDA MILO TEMUCO (VIBRIN FLEJERA STOPPER)</v>
          </cell>
        </row>
        <row r="704">
          <cell r="R704" t="str">
            <v>W8 UNIMARC - CORRIDA MILO TEMUCO (VIBRIN FLEJERA STOPPER)</v>
          </cell>
        </row>
        <row r="705">
          <cell r="R705" t="str">
            <v>W13 JUMBO - GANCHERAS NESTUM (GANCHERA)</v>
          </cell>
        </row>
        <row r="706">
          <cell r="R706" t="str">
            <v>W13 HIPER LIDER - PAYLOADERS AGUA DE COCO (GRAFICA)</v>
          </cell>
        </row>
        <row r="707">
          <cell r="R707" t="str">
            <v>W13 HIPER LIDER - PAYLOADERS AGUA DE COCO (PAYLOADER)</v>
          </cell>
        </row>
        <row r="708">
          <cell r="R708" t="str">
            <v>W14 HIPER LIDER - NESTUM RELEVANCE (STOPPER)</v>
          </cell>
        </row>
        <row r="709">
          <cell r="R709" t="str">
            <v>W14 LIDER EXPRESS - NESTUM RELEVANCE (STOPPER)</v>
          </cell>
        </row>
        <row r="710">
          <cell r="R710" t="str">
            <v>W16 HIPER LIDER - CAMPAÑA TRENCITO(HOTSPOT)</v>
          </cell>
        </row>
        <row r="711">
          <cell r="R711" t="str">
            <v>W16 HIPER LIDER - CAMPAÑA TRENCITO(PAYLOADER)</v>
          </cell>
        </row>
        <row r="712">
          <cell r="R712" t="str">
            <v>W16 LIDER EXPRESS - CAMPAÑA TRENCITO(PAYLOADER)</v>
          </cell>
        </row>
        <row r="713">
          <cell r="R713" t="str">
            <v>W16 HIPER LIDER - PAYLOADER NIDO L3 SG (PAYLOADER)</v>
          </cell>
        </row>
        <row r="714">
          <cell r="R714" t="str">
            <v>W16 UNIMARC - MATERIALES NIDO YOGOLINO (MARCO PRECIO STOPPER)</v>
          </cell>
        </row>
        <row r="715">
          <cell r="R715" t="str">
            <v>W16 UNIMARC - MATERIALES NIDO YOGOLINO (MARCO PRECIO STOPPER)</v>
          </cell>
        </row>
        <row r="716">
          <cell r="R716" t="str">
            <v>W16 TOTTUS - MATERIALES NIDO YOGOLINO (MARCO PRECIO STOPPER VIBRIN)</v>
          </cell>
        </row>
        <row r="717">
          <cell r="R717" t="str">
            <v>W16 TOTTUS - MATERIALES NIDO YOGOLINO (MARCO PRECIO STOPPER VIBRIN)</v>
          </cell>
        </row>
        <row r="718">
          <cell r="R718" t="str">
            <v>W16 TOTTUS - MATERIALES NIDO YOGOLINO (MARCO PRECIO STOPPER VIBRIN)</v>
          </cell>
        </row>
        <row r="719">
          <cell r="R719" t="str">
            <v>W20 UNIMARC - APOYO CATÁLOGO ABRIL SMU (PAYLOADER)</v>
          </cell>
        </row>
        <row r="720">
          <cell r="R720" t="str">
            <v>W20 MAYORISTA 10 - APOYO CATÁLOGO ABRIL SMU (REVESTIMIENTO)</v>
          </cell>
        </row>
        <row r="721">
          <cell r="R721" t="str">
            <v>W16 HIPER LIDER - LISTA 3 LCA (PAYLOADER)</v>
          </cell>
        </row>
        <row r="722">
          <cell r="R722" t="str">
            <v>W16 HIPER LIDER - LISTA 3 ESPECIALIDADES (PAYLOADER)</v>
          </cell>
        </row>
        <row r="723">
          <cell r="R723" t="str">
            <v>W17 TOTTUS - MATERIAL NAN OPTIPRO (MARCO PRECIO VIBRIN)</v>
          </cell>
        </row>
        <row r="724">
          <cell r="R724" t="str">
            <v>W17 HIPER LIDER - MATERIAL NAN OPTIPRO (MARCO PRECIO VIBRIN)</v>
          </cell>
        </row>
        <row r="725">
          <cell r="R725" t="str">
            <v>W17 HIPER LIDER - MATERIAL NAN OPTIPRO (MARCO PRECIO VIBRIN)</v>
          </cell>
        </row>
        <row r="726">
          <cell r="R726" t="str">
            <v>W17 LIDER EXPRESS - MATERIAL NAN OPTIPRO (MARCO PRECIO VIBRIN)</v>
          </cell>
        </row>
        <row r="727">
          <cell r="R727" t="str">
            <v>W17 LIDER EXPRESS - MATERIAL NAN OPTIPRO (MARCO PRECIO VIBRIN)</v>
          </cell>
        </row>
        <row r="728">
          <cell r="R728" t="str">
            <v>W17 JUMBO - MATERIAL NAN OPTIPRO (MARCO PRECIO VIBRIN)</v>
          </cell>
        </row>
        <row r="729">
          <cell r="R729" t="str">
            <v>W17 JUMBO - MATERIAL NAN OPTIPRO (MARCO PRECIO VIBRIN)</v>
          </cell>
        </row>
        <row r="730">
          <cell r="R730" t="str">
            <v>W17 TOTTUS - MATERIAL NAN OPTIPRO (MARCO PRECIO VIBRIN)</v>
          </cell>
        </row>
        <row r="731">
          <cell r="R731" t="str">
            <v>W16 HIPER LIDER - CAMPAÑA TRENCITO(ISLA)</v>
          </cell>
        </row>
        <row r="732">
          <cell r="R732" t="str">
            <v>W18 JUMBO - GANCHERA NIDO NUTRI ESENCIAL (GANCHERA)</v>
          </cell>
        </row>
        <row r="733">
          <cell r="R733" t="str">
            <v>W18 SISA - GANCHERA NIDO NUTRI ESENCIAL (GANCHERA)</v>
          </cell>
        </row>
        <row r="734">
          <cell r="R734" t="str">
            <v>W18 SISA - PAYLOADERS S&amp;C MEGA MAGGI(PAYLOADER)</v>
          </cell>
        </row>
        <row r="735">
          <cell r="R735" t="str">
            <v>W18 SISA - PAYLOADERS S&amp;C MEGA MAGGI(STICKER QR)</v>
          </cell>
        </row>
        <row r="736">
          <cell r="R736" t="str">
            <v>W18 SISA - PAYLOADERS S&amp;C MEGA MAGGI(FLEJERA)</v>
          </cell>
        </row>
        <row r="737">
          <cell r="R737" t="str">
            <v>W22 UNIMARC - CAMPAÑA TRENCITO (ISLA)</v>
          </cell>
        </row>
        <row r="738">
          <cell r="R738" t="str">
            <v>W22 UNIMARC - CAMPAÑA TRENCITO (REVESTIMIENTO CABECERA)</v>
          </cell>
        </row>
        <row r="739">
          <cell r="R739" t="str">
            <v>W22 UNIMARC - CAMPAÑA TRENCITO (PAYLOADER)</v>
          </cell>
        </row>
        <row r="740">
          <cell r="R740" t="str">
            <v>W21 TOTTUS - CAMPAÑA TRENCITO (ISLA)</v>
          </cell>
        </row>
        <row r="741">
          <cell r="R741" t="str">
            <v>W21 TOTTUS - CAMPAÑA TRENCITO (HOTSPOT)</v>
          </cell>
        </row>
        <row r="742">
          <cell r="R742" t="str">
            <v>W21 TOTTUS - CAMPAÑA TRENCITO (PAYLOADER)</v>
          </cell>
        </row>
        <row r="743">
          <cell r="R743" t="str">
            <v>W20 JUMBO - MATERIALES NIDO NUTRI ESENCIAL (MARCO PRECIO VIBRIN)</v>
          </cell>
        </row>
        <row r="744">
          <cell r="R744" t="str">
            <v>W20 JUMBO - MATERIALES NIDO NUTRI ESENCIAL (MARCO PRECIO VIBRIN)</v>
          </cell>
        </row>
        <row r="745">
          <cell r="R745" t="str">
            <v>W20 SISA - MATERIALES NIDO NUTRI ESENCIAL (MARCO PRECIO VIBRIN)</v>
          </cell>
        </row>
        <row r="746">
          <cell r="R746" t="str">
            <v>W20 SISA - MATERIALES NIDO NUTRI ESENCIAL (MARCO PRECIO VIBRIN)</v>
          </cell>
        </row>
        <row r="747">
          <cell r="R747" t="str">
            <v>W21 HIPER LIDER - PAYLOADER CORRIDA MILO SANTIAGO (PAYLOADER)</v>
          </cell>
        </row>
        <row r="748">
          <cell r="R748" t="str">
            <v>W21 SISA - PAYLOADER CORRIDA MILO SANTIAGO (PAYLOADER)</v>
          </cell>
        </row>
        <row r="749">
          <cell r="R749" t="str">
            <v>W21 UNIMARC - ARCO Y PODIO CORRIDA MILO SANTIAGO (PODIO)</v>
          </cell>
        </row>
        <row r="750">
          <cell r="R750" t="str">
            <v>W21 TOTTUS - ARCO Y PODIO CORRIDA MILO SANTIAGO (PODIO)</v>
          </cell>
        </row>
        <row r="751">
          <cell r="R751" t="str">
            <v>W21 TOTTUS - ARCO Y PODIO CORRIDA MILO SANTIAGO (ARCO)</v>
          </cell>
        </row>
        <row r="752">
          <cell r="R752" t="str">
            <v>W21 HIPER LIDER - MATERIALES NIDO BAJA DE PRECIOS (STOPPER)</v>
          </cell>
        </row>
        <row r="753">
          <cell r="R753" t="str">
            <v>W21 LIDER EXPRESS - MATERIALES NIDO BAJA DE PRECIOS (STOPPER)</v>
          </cell>
        </row>
        <row r="754">
          <cell r="R754" t="str">
            <v>W22 JUMBO - MATERIALES NIDO ETAPAS BAJA DE PRECIO (MARCO PRECIO VIBRIN )</v>
          </cell>
        </row>
        <row r="755">
          <cell r="R755" t="str">
            <v>W22 JUMBO - MATERIALES NIDO ETAPAS BAJA DE PRECIO (BANDEJA EN L)</v>
          </cell>
        </row>
        <row r="756">
          <cell r="R756" t="str">
            <v>W22 JUMBO - MATERIALES NIDO ETAPAS BAJA DE PRECIO (MARCO PRECIO VIBRIN )</v>
          </cell>
        </row>
        <row r="757">
          <cell r="R757" t="str">
            <v>W22 SISA - MATERIALES NIDO ETAPAS BAJA DE PRECIO (MARCO PRECIO VIBRIN )</v>
          </cell>
        </row>
        <row r="758">
          <cell r="R758" t="str">
            <v>W22 SISA - MATERIALES NIDO ETAPAS BAJA DE PRECIO (MARCO PRECIO VIBRIN )</v>
          </cell>
        </row>
        <row r="759">
          <cell r="R759" t="str">
            <v>W22 SISA - MATERIALES NIDO ETAPAS BAJA DE PRECIO (BANDEJA EN L)</v>
          </cell>
        </row>
        <row r="760">
          <cell r="R760" t="str">
            <v>W22 HIPER LIDER -  TOTEM CORRIDA MILO (TOTEM)</v>
          </cell>
        </row>
        <row r="761">
          <cell r="R761" t="str">
            <v>W22 LIDER EXPRESS -  TOTEM CORRIDA MILO (TOTEM)</v>
          </cell>
        </row>
        <row r="762">
          <cell r="R762" t="str">
            <v>W22 JUMBO -  TOTEM CORRIDA MILO (TOTEM)</v>
          </cell>
        </row>
        <row r="763">
          <cell r="R763" t="str">
            <v>W22 SISA -  TOTEM CORRIDA MILO (TOTEM)</v>
          </cell>
        </row>
        <row r="764">
          <cell r="R764" t="str">
            <v>W22 TOTTUS -  TOTEM CORRIDA MILO (TOTEM)</v>
          </cell>
        </row>
        <row r="765">
          <cell r="R765" t="str">
            <v>W22 UNIMARC -  TOTEM CORRIDA MILO (TOTEM)</v>
          </cell>
        </row>
        <row r="766">
          <cell r="R766" t="str">
            <v>W22 ACUENTA - PAYLOADER TRENCITO(PAYLOADER)</v>
          </cell>
        </row>
        <row r="767">
          <cell r="R767" t="str">
            <v>W23 JUMBO - PAYLOADERS TRENCITO/SAHNE NUSS (PAYLOADER)</v>
          </cell>
        </row>
        <row r="768">
          <cell r="R768" t="str">
            <v>W22 TOTTUS - MATERIALES NIDO NUTRI ESENCIAL (MARCO PRECIO VIBRIN STOPPER)</v>
          </cell>
        </row>
        <row r="769">
          <cell r="R769" t="str">
            <v>W22 TOTTUS - MATERIALES NIDO NUTRI ESENCIAL (MARCO PRECIO VIBRIN STOPPER)</v>
          </cell>
        </row>
        <row r="770">
          <cell r="R770" t="str">
            <v>W22 TOTTUS - MATERIALES NIDO NUTRI ESENCIAL (BANDEJA EN L)</v>
          </cell>
        </row>
        <row r="771">
          <cell r="R771" t="str">
            <v>W22 TOTTUS - MATERIALES NIDO NUTRI ESENCIAL (MARCO PRECIO VIBRIN STOPPER)</v>
          </cell>
        </row>
        <row r="772">
          <cell r="R772" t="str">
            <v>W22 SISA - MAGGI JUNIO JULIO (PAYLOADER)</v>
          </cell>
        </row>
        <row r="773">
          <cell r="R773" t="str">
            <v>W22 SISA - MAGGI JUNIO JULIO (FLEJERA)</v>
          </cell>
        </row>
        <row r="774">
          <cell r="R774" t="str">
            <v>W23 JUMBO - NESTUM (VIBRIN)</v>
          </cell>
        </row>
        <row r="775">
          <cell r="R775" t="str">
            <v>W23 SISA - NESTUM (VIBRIN)</v>
          </cell>
        </row>
        <row r="776">
          <cell r="R776" t="str">
            <v>W23 TOTTUS - NESTUM (BANDEJA EN L)</v>
          </cell>
        </row>
        <row r="777">
          <cell r="R777" t="str">
            <v>W24 JUMBO - GANCHERAS NIDO ETAPAS BAJA DE PRECIO (GANCHERA)</v>
          </cell>
        </row>
        <row r="778">
          <cell r="R778" t="str">
            <v>W26 SSRR - CAMPAÑA TRENCITO REGIONALES(ISLA)</v>
          </cell>
        </row>
        <row r="779">
          <cell r="R779" t="str">
            <v>W26 SSRR - CAMPAÑA TRENCITO REGIONALES(PAYLOADER)</v>
          </cell>
        </row>
        <row r="780">
          <cell r="R780" t="str">
            <v>W26 SSRR - CAMPAÑA TRENCITO REGIONALES(REVESTIMIENTO LATERAL)</v>
          </cell>
        </row>
        <row r="781">
          <cell r="R781" t="str">
            <v>W26 SSRR - CAMPAÑA TRENCITO REGIONALES(FLEJERA)</v>
          </cell>
        </row>
        <row r="782">
          <cell r="R782" t="str">
            <v>W24 SISA - GANCHERAS NIDO ETAPAS BAJA DE PRECIO (GANCHERA)</v>
          </cell>
        </row>
        <row r="783">
          <cell r="R783" t="str">
            <v>W24 UNIMARC - MATERIALES ETAPAS BAJA DE PRECIO (MARCO PRECIO VIBRIN STOPPER)</v>
          </cell>
        </row>
        <row r="784">
          <cell r="R784" t="str">
            <v>W24 UNIMARC - MATERIALES ETAPAS BAJA DE PRECIO (MARCO PRECIO VIBRIN STOPPER)</v>
          </cell>
        </row>
        <row r="785">
          <cell r="R785" t="str">
            <v>W24 UNIMARC - MATERIALES ETAPAS BAJA DE PRECIO (BANDEJA EN L)</v>
          </cell>
        </row>
        <row r="786">
          <cell r="R786" t="str">
            <v>W24 UNIMARC - MATERIALES ETAPAS BAJA DE PRECIO (MARCO PRECIO VIBRIN STOPPER)</v>
          </cell>
        </row>
        <row r="787">
          <cell r="R787" t="str">
            <v>W24 HIPER LIDER - CABECERAS REFRIGERADOS (LATERAL CABECERA)</v>
          </cell>
        </row>
        <row r="788">
          <cell r="R788" t="str">
            <v>W24 UNIMARC - MATERIALES NIDO YOGOLINO (VIBRIN MANZANA VIBRIN PERA MARCO PRECIO)</v>
          </cell>
        </row>
        <row r="789">
          <cell r="R789" t="str">
            <v>W24 UNIMARC - MATERIALES NIDO YOGOLINO (VIBRIN MANZANA VIBRIN PERA MARCO PRECIO)</v>
          </cell>
        </row>
        <row r="790">
          <cell r="R790" t="str">
            <v>W24 UNIMARC - MATERIALES NIDO YOGOLINO (VIBRIN MANZANA VIBRIN PERA MARCO PRECIO)</v>
          </cell>
        </row>
        <row r="791">
          <cell r="R791" t="str">
            <v>W24 UNIMARC - MATERIALES NIDO YOGOLINO (BANDEJA EN L)</v>
          </cell>
        </row>
        <row r="792">
          <cell r="R792" t="str">
            <v>W24 TOTTUS - MATERIALES NIDO YOGOLINO (VIBRIN MANZANA VIBRIN PERA MARCO PRECIO STOPPER)</v>
          </cell>
        </row>
        <row r="793">
          <cell r="R793" t="str">
            <v>W24 TOTTUS - MATERIALES NIDO YOGOLINO (VIBRIN MANZANA VIBRIN PERA MARCO PRECIO STOPPER)</v>
          </cell>
        </row>
        <row r="794">
          <cell r="R794" t="str">
            <v>W24 TOTTUS - MATERIALES NIDO YOGOLINO (VIBRIN MANZANA VIBRIN PERA MARCO PRECIO STOPPER)</v>
          </cell>
        </row>
        <row r="795">
          <cell r="R795" t="str">
            <v>W24 TOTTUS - MATERIALES NIDO YOGOLINO (BANDEJA EN L)</v>
          </cell>
        </row>
        <row r="796">
          <cell r="R796" t="str">
            <v>W24 TOTTUS - MATERIALES NIDO YOGOLINO (VIBRIN MANZANA VIBRIN PERA MARCO PRECIO STOPPER)</v>
          </cell>
        </row>
        <row r="797">
          <cell r="R797" t="str">
            <v>W24 HIPER LIDER - MATERIALES NIDO YOGOLINO (MARCO PRECIO )</v>
          </cell>
        </row>
        <row r="798">
          <cell r="R798" t="str">
            <v>W24 HIPER LIDER - MATERIALES NIDO YOGOLINO (BANDEJA EN L)</v>
          </cell>
        </row>
        <row r="799">
          <cell r="R799" t="str">
            <v>W24 LIDER EXPRESS - MATERIALES NIDO YOGOLINO (MARCO PRECIO )</v>
          </cell>
        </row>
        <row r="800">
          <cell r="R800" t="str">
            <v>W24 LIDER EXPRESS - MATERIALES NIDO YOGOLINO (BANDEJA EN L)</v>
          </cell>
        </row>
        <row r="801">
          <cell r="R801" t="str">
            <v>W24 SSRR - CONCURSO NATURNES (TRICICLO)</v>
          </cell>
        </row>
        <row r="802">
          <cell r="R802" t="str">
            <v>W24 SSRR - CONCURSO NATURNES (BUZON)</v>
          </cell>
        </row>
        <row r="803">
          <cell r="R803" t="str">
            <v>W24 SSRR - CONCURSO NATURNES (PAYLOADER)</v>
          </cell>
        </row>
        <row r="804">
          <cell r="R804" t="str">
            <v>W24 SSRR - CONCURSO NATURNES (FLEJERA EN L)</v>
          </cell>
        </row>
        <row r="805">
          <cell r="R805" t="str">
            <v>W24 SSRR - CONCURSO NATURNES (STOPPER VIBRIN MARCO PRECIO)</v>
          </cell>
        </row>
        <row r="806">
          <cell r="R806" t="str">
            <v>W24 SSRR - CONCURSO NATURNES (STOPPER VIBRIN MARCO PRECIO)</v>
          </cell>
        </row>
        <row r="807">
          <cell r="R807" t="str">
            <v>W24 SSRR - CONCURSO NATURNES (STOPPER VIBRIN MARCO PRECIO)</v>
          </cell>
        </row>
        <row r="808">
          <cell r="R808" t="str">
            <v>W24 SSRR - CONCURSO NATURNES (TOTEM)</v>
          </cell>
        </row>
        <row r="809">
          <cell r="R809" t="str">
            <v>W25 HIPER LIDER - PAYLOADER MILO LISTA 4(PAYLOADER)</v>
          </cell>
        </row>
        <row r="810">
          <cell r="R810" t="str">
            <v>W25 HIPER LIDER - PAYLOADER NIDO LISTA 4 (PAYLOADER)</v>
          </cell>
        </row>
        <row r="811">
          <cell r="R811" t="str">
            <v>W25 UNIMARC - CATÁLOGO JUNIO (REVESTIMIENTO KUKY)</v>
          </cell>
        </row>
        <row r="812">
          <cell r="R812" t="str">
            <v>W25 UNIMARC - CATÁLOGO JUNIO (REVESTIMIENTO CRIOLLITA)</v>
          </cell>
        </row>
        <row r="813">
          <cell r="R813" t="str">
            <v>W25 UNIMARC - CATÁLOGO JUNIO (MINI PAYLOADER)</v>
          </cell>
        </row>
        <row r="814">
          <cell r="R814" t="str">
            <v>W26 SSRR - MATERIAL POP CONCURSO NESCAFE (BUZON)</v>
          </cell>
        </row>
        <row r="815">
          <cell r="R815" t="str">
            <v>W26 SSRR - MATERIAL POP CONCURSO NESCAFE (STOPPER VIBRIN)</v>
          </cell>
        </row>
        <row r="816">
          <cell r="R816" t="str">
            <v>W26 SSRR - MATERIAL POP CONCURSO NESCAFE (STOPPER VIBRIN)</v>
          </cell>
        </row>
        <row r="817">
          <cell r="R817" t="str">
            <v>W26 SSRR - MATERIAL POP CONCURSO NESCAFE (BANDEJA EN L)</v>
          </cell>
        </row>
        <row r="818">
          <cell r="R818" t="str">
            <v>W26 SSRR - MATERIAL POP CONCURSO NESCAFE (CUPONES)</v>
          </cell>
        </row>
        <row r="819">
          <cell r="R819" t="str">
            <v>W26 SSRR - MATERIAL POP CONCURSO MAGGI (BUZON)</v>
          </cell>
        </row>
        <row r="820">
          <cell r="R820" t="str">
            <v>W26 SSRR - MATERIAL POP CONCURSO MAGGI (STOPPER VIBRIN)</v>
          </cell>
        </row>
        <row r="821">
          <cell r="R821" t="str">
            <v>W26 SSRR - MATERIAL POP CONCURSO MAGGI (STOPPER VIBRIN)</v>
          </cell>
        </row>
        <row r="822">
          <cell r="R822" t="str">
            <v>W26 SSRR - MATERIAL POP CONCURSO MAGGI (BANDEJA EN L)</v>
          </cell>
        </row>
        <row r="823">
          <cell r="R823" t="str">
            <v>W26 SSRR - MATERIAL POP CONCURSO MAGGI (CUPONES)</v>
          </cell>
        </row>
        <row r="824">
          <cell r="R824" t="str">
            <v>W26 SSRR - MATERIAL POP CONCURSO NESCAFE (ISLA)</v>
          </cell>
        </row>
        <row r="825">
          <cell r="R825" t="str">
            <v>W25 HIPER LIDER - LISTA 4 PAYLOADERS SN TRENCITO (PAYLOADER)</v>
          </cell>
        </row>
        <row r="826">
          <cell r="R826" t="str">
            <v>W26 JUMBO - STOPPERS BOMBONES(STOPPER)</v>
          </cell>
        </row>
        <row r="827">
          <cell r="R827" t="str">
            <v>W26 SSRR - MATERIAL POP CONCURSO MAGGI (ISLA)</v>
          </cell>
        </row>
        <row r="828">
          <cell r="R828" t="str">
            <v>W26 SSRR - HOTSPOT TRENCITO (HOTSPOT)</v>
          </cell>
        </row>
        <row r="829">
          <cell r="R829" t="str">
            <v>W27 HIPER LIDER - CONCURSO SAHNENUSS 100 AÑOS (METRO TREND)</v>
          </cell>
        </row>
        <row r="830">
          <cell r="R830" t="str">
            <v>W27 HIPER LIDER - CONCURSO SAHNENUSS 100 AÑOS (ISLA)</v>
          </cell>
        </row>
        <row r="831">
          <cell r="R831" t="str">
            <v>W27 HIPER LIDER - CONCURSO SAHNENUSS 100 AÑOS (STOPPER)</v>
          </cell>
        </row>
        <row r="832">
          <cell r="R832" t="str">
            <v>W28 JUMBO - GANCHERAS MILO (GANCHERA)</v>
          </cell>
        </row>
        <row r="833">
          <cell r="R833" t="str">
            <v>W28 SISA - GANCHERAS MILO (GANCHERA)</v>
          </cell>
        </row>
        <row r="834">
          <cell r="R834" t="str">
            <v>W29 HIPER LIDER - RECETAS NESTLÉ (ISLA)</v>
          </cell>
        </row>
        <row r="835">
          <cell r="R835" t="str">
            <v>W29 HIPER LIDER - RECETAS NESTLÉ (ISLA)</v>
          </cell>
        </row>
        <row r="836">
          <cell r="R836" t="str">
            <v>W29 HIPER LIDER - RECETAS NESTLÉ (ISLA)</v>
          </cell>
        </row>
        <row r="837">
          <cell r="R837" t="str">
            <v>W29 HIPER LIDER - RECETAS NESTLÉ (ISLA)</v>
          </cell>
        </row>
        <row r="838">
          <cell r="R838" t="str">
            <v>W29 HIPER LIDER - RECETAS NESTLÉ (ISLA)</v>
          </cell>
        </row>
        <row r="839">
          <cell r="R839" t="str">
            <v>W29 HIPER LIDER - RECETAS NESTLÉ (ISLA)</v>
          </cell>
        </row>
        <row r="840">
          <cell r="R840" t="str">
            <v>W28 TOTTUS - MATERIALES NIDO 300G (MARCO PRECIO VIBRIN STOPPER)</v>
          </cell>
        </row>
        <row r="841">
          <cell r="R841" t="str">
            <v>W28 TOTTUS - MATERIALES NIDO 300G (MARCO PRECIO VIBRIN STOPPER)</v>
          </cell>
        </row>
        <row r="842">
          <cell r="R842" t="str">
            <v>W28 TOTTUS - MATERIALES NIDO 300G (FLEJERA EN L)</v>
          </cell>
        </row>
        <row r="843">
          <cell r="R843" t="str">
            <v>W28 TOTTUS - MATERIALES NIDO 300G (MARCO PRECIO VIBRIN STOPPER)</v>
          </cell>
        </row>
        <row r="844">
          <cell r="R844" t="str">
            <v>W28 TOTTUS - MATERIALES SVELTY 300G (MARCO PRECIO VIBRIN STOPPER)</v>
          </cell>
        </row>
        <row r="845">
          <cell r="R845" t="str">
            <v>W28 TOTTUS - MATERIALES SVELTY 300G (MARCO PRECIO VIBRIN STOPPER)</v>
          </cell>
        </row>
        <row r="846">
          <cell r="R846" t="str">
            <v>W28 TOTTUS - MATERIALES SVELTY 300G (FLEJERA EN L)</v>
          </cell>
        </row>
        <row r="847">
          <cell r="R847" t="str">
            <v>W29 HIPER LIDER - MES DE LA DULZURA (ISLA)</v>
          </cell>
        </row>
        <row r="848">
          <cell r="R848" t="str">
            <v>W30 HIPER LIDER - MATERIAL LA CREMERÍA (HUINCHA COOLER)</v>
          </cell>
        </row>
        <row r="849">
          <cell r="R849" t="str">
            <v>W30 HIPER LIDER - MATERIAL LA CREMERÍA (CHUPON)</v>
          </cell>
        </row>
        <row r="850">
          <cell r="R850" t="str">
            <v>W30 HIPER LIDER - MATERIAL LA CREMERÍA (SEPARADOR XL)</v>
          </cell>
        </row>
        <row r="851">
          <cell r="R851" t="str">
            <v>W30 HIPER LIDER - MATERIAL LA CREMERÍA (COLGANTE)</v>
          </cell>
        </row>
        <row r="852">
          <cell r="R852" t="str">
            <v>W30 HIPER LIDER - MATERIAL BEBIDA ORIGINAL NH (PAYLOADER)</v>
          </cell>
        </row>
        <row r="853">
          <cell r="R853" t="str">
            <v>W30 HIPER LIDER - MATERIAL BEBIDA ORIGINAL NH (STOPPER)</v>
          </cell>
        </row>
        <row r="854">
          <cell r="R854" t="str">
            <v>W30 JUMBO - TRENCITO (REVESTIMIENTO LATERAL)</v>
          </cell>
        </row>
        <row r="855">
          <cell r="R855" t="str">
            <v>W30 JUMBO - TRENCITO (ISLA)</v>
          </cell>
        </row>
        <row r="856">
          <cell r="R856" t="str">
            <v>W30 JUMBO - TRENCITO (GANCHERA)</v>
          </cell>
        </row>
        <row r="857">
          <cell r="R857" t="str">
            <v>W30 HIPER LIDER - PAYLOADER NIDO NUTRI ESENCIAL (PAYLOADER)</v>
          </cell>
        </row>
        <row r="858">
          <cell r="R858" t="str">
            <v>W31 SISA - DULCE GUSTITO (BOTADERO)</v>
          </cell>
        </row>
        <row r="859">
          <cell r="R859" t="str">
            <v>W31 SISA - DULCE GUSTITO (PEDESTAL)</v>
          </cell>
        </row>
        <row r="860">
          <cell r="R860" t="str">
            <v>W29 HIPER LIDER - MES DE LA DULZURA (PAYLOADER)</v>
          </cell>
        </row>
        <row r="861">
          <cell r="R861" t="str">
            <v>W30 HIPER LIDER -  REVESTIMIENTO NIDO 300G (REVESTIMIENTO)</v>
          </cell>
        </row>
        <row r="862">
          <cell r="R862" t="str">
            <v>W30 HIPER LIDER -  REVESTIMIENTO SVELTY 300G (REVESTIMIENTO)</v>
          </cell>
        </row>
        <row r="863">
          <cell r="R863" t="str">
            <v>W35 SSRR - DULCE CHILENIDAD (REVESTIMIENTO)</v>
          </cell>
        </row>
        <row r="864">
          <cell r="R864" t="str">
            <v>W35 SSRR - DULCE CHILENIDAD (LATERAL DE CABECERA)</v>
          </cell>
        </row>
        <row r="865">
          <cell r="R865" t="str">
            <v>W35 SSRR - DULCE CHILENIDAD (PAYLOADER)</v>
          </cell>
        </row>
        <row r="866">
          <cell r="R866" t="str">
            <v>W34 UNIMARC - CHANDELLE (CHUPON)</v>
          </cell>
        </row>
        <row r="867">
          <cell r="R867" t="str">
            <v>W35 JUMBO - NESCAFÉ MIXES (GANCHERA)</v>
          </cell>
        </row>
        <row r="868">
          <cell r="R868" t="str">
            <v>W35 TOTTUS - NESCAFÉ MIXES (STOPPER)</v>
          </cell>
        </row>
        <row r="869">
          <cell r="R869" t="str">
            <v>W34 UNIMARC - NESCAFÉ MIXES (GANCHERA)</v>
          </cell>
        </row>
        <row r="870">
          <cell r="R870" t="str">
            <v>W34 UNIMARC - NESCAFÉ MIXES (STOPPER)</v>
          </cell>
        </row>
        <row r="871">
          <cell r="R871" t="str">
            <v>W33 HIPER LIDER - NESCAFÉ MIXES (STOPPER)</v>
          </cell>
        </row>
        <row r="872">
          <cell r="R872" t="str">
            <v>W33 HIPER LIDER - NESCAFÉ MIXES (METRO TREND)</v>
          </cell>
        </row>
        <row r="873">
          <cell r="R873" t="str">
            <v>W33 LIDER EXPRESS - NESCAFÉ MIXES (STOPPER)</v>
          </cell>
        </row>
        <row r="874">
          <cell r="R874" t="str">
            <v>W33 LIDER EXPRESS - NESCAFÉ MIXES (METRO TREND)</v>
          </cell>
        </row>
        <row r="875">
          <cell r="R875" t="str">
            <v>W32 JUMBO - PLAN PIÑA (VIBRIN)</v>
          </cell>
        </row>
        <row r="876">
          <cell r="R876" t="str">
            <v>W32 SISA - PLAN PIÑA (VIBRIN)</v>
          </cell>
        </row>
        <row r="877">
          <cell r="R877" t="str">
            <v>W32 SISA - PLAN PIÑA (LOMO NAVE)</v>
          </cell>
        </row>
        <row r="878">
          <cell r="R878" t="str">
            <v>W33 UNIMARC - PLAN PIÑA (STOPPER VIBRIN)</v>
          </cell>
        </row>
        <row r="879">
          <cell r="R879" t="str">
            <v>W33 UNIMARC - PLAN PIÑA (STOPPER VIBRIN)</v>
          </cell>
        </row>
        <row r="880">
          <cell r="R880" t="str">
            <v>W34 SSRR - PLAN PIÑA (PREMIO)</v>
          </cell>
        </row>
        <row r="881">
          <cell r="R881" t="str">
            <v>W34 SSRR - PLAN PIÑA (PENDON)</v>
          </cell>
        </row>
        <row r="882">
          <cell r="R882" t="str">
            <v>W34 SSRR - PLAN PIÑA (STOPPER VIBRIN)</v>
          </cell>
        </row>
        <row r="883">
          <cell r="R883" t="str">
            <v>W34 SSRR - PLAN PIÑA (STOPPER VIBRIN)</v>
          </cell>
        </row>
        <row r="884">
          <cell r="R884" t="str">
            <v>W34 SSRR - PLAN PIÑA (LOMO NAVE)</v>
          </cell>
        </row>
        <row r="885">
          <cell r="R885" t="str">
            <v>W35 TOTTUS - PLAN PIÑA (STOPPER)</v>
          </cell>
        </row>
        <row r="886">
          <cell r="R886" t="str">
            <v>W35 TOTTUS - PLAN PIÑA (ARCO)</v>
          </cell>
        </row>
        <row r="887">
          <cell r="R887" t="str">
            <v>W35 TOTTUS - PLAN PIÑA (CUBREALARMA)</v>
          </cell>
        </row>
        <row r="888">
          <cell r="R888" t="str">
            <v>W35 TOTTUS - PLAN PIÑA (VIBRIN)</v>
          </cell>
        </row>
        <row r="889">
          <cell r="R889" t="str">
            <v>W33 HIPER LIDER - PLAN PIÑA (STOPPER SAVORY)</v>
          </cell>
        </row>
        <row r="890">
          <cell r="R890" t="str">
            <v>W33 HIPER LIDER - PLAN PIÑA (STOPPER CHAMONIX)</v>
          </cell>
        </row>
        <row r="891">
          <cell r="R891" t="str">
            <v>W33 HIPER LIDER - PLAN PIÑA (LATERAL CABECERA)</v>
          </cell>
        </row>
        <row r="892">
          <cell r="R892" t="str">
            <v>W39 TOTTUS - DULCE CHILENIDAD (REVESTIMIENTO)</v>
          </cell>
        </row>
        <row r="893">
          <cell r="R893" t="str">
            <v>W39 MAYORISTA 10 - DULCE CHILENIDAD (REVESTIMIENTO)</v>
          </cell>
        </row>
        <row r="894">
          <cell r="R894" t="str">
            <v>W39 ALVI - DULCE CHILENIDAD (REVESTIMIENTO)</v>
          </cell>
        </row>
        <row r="895">
          <cell r="R895" t="str">
            <v>W35 SSRR - NIDO 300G (VIBRIN MARCO PRECIO)</v>
          </cell>
        </row>
        <row r="896">
          <cell r="R896" t="str">
            <v>W35 SSRR - NIDO 300G (BANDEJA EN L)</v>
          </cell>
        </row>
        <row r="897">
          <cell r="R897" t="str">
            <v>W35 SSRR - NIDO 300G (VIBRIN MARCO PRECIO)</v>
          </cell>
        </row>
        <row r="898">
          <cell r="R898" t="str">
            <v>W35 HIPER LIDER - LISTA 5 NIDO (PAYLOADER)</v>
          </cell>
        </row>
        <row r="899">
          <cell r="R899" t="str">
            <v>W30 SSRR - MATERIALES NIDO YOGOLINO (VIBRIN MANZANA  VIBRIN PERA MARCO PRECIO STOPPER)</v>
          </cell>
        </row>
        <row r="900">
          <cell r="R900" t="str">
            <v>W30 SSRR - MATERIALES NIDO YOGOLINO (VIBRIN MANZANA  VIBRIN PERA MARCO PRECIO STOPPER)</v>
          </cell>
        </row>
        <row r="901">
          <cell r="R901" t="str">
            <v>W30 SSRR - MATERIALES NIDO YOGOLINO (VIBRIN MANZANA  VIBRIN PERA MARCO PRECIO STOPPER)</v>
          </cell>
        </row>
        <row r="902">
          <cell r="R902" t="str">
            <v>W30 SSRR - MATERIALES NIDO YOGOLINO (BANDEJA EN L)</v>
          </cell>
        </row>
        <row r="903">
          <cell r="R903" t="str">
            <v>W30 SSRR - MATERIALES NIDO YOGOLINO (VIBRIN MANZANA  VIBRIN PERA MARCO PRECIO STOPPER)</v>
          </cell>
        </row>
        <row r="904">
          <cell r="R904" t="str">
            <v>W30 SSRR - MATERIALES NIDO YOGOLINO (VIBRIN MANZANA  VIBRIN PERA MARCO PRECIO STOPPER)</v>
          </cell>
        </row>
        <row r="905">
          <cell r="R905" t="str">
            <v>W30 SSRR - MATERIALES NIDO 300G (MARCO PRECIO VIBRIN STOPPER)</v>
          </cell>
        </row>
        <row r="906">
          <cell r="R906" t="str">
            <v>W30 SSRR - MATERIALES NIDO 300G (MARCO PRECIO VIBRIN STOPPER)</v>
          </cell>
        </row>
        <row r="907">
          <cell r="R907" t="str">
            <v>W30 SSRR - MATERIALES NIDO 300G (FLEJERA EN L)</v>
          </cell>
        </row>
        <row r="908">
          <cell r="R908" t="str">
            <v>W30 SSRR - MATERIALES NIDO 300G (MARCO PRECIO VIBRIN STOPPER)</v>
          </cell>
        </row>
        <row r="909">
          <cell r="R909" t="str">
            <v>W28 SSRR - MATERIALES SVELTY 300G (VIBRIN STOPPER MARCO PRECIO)</v>
          </cell>
        </row>
        <row r="910">
          <cell r="R910" t="str">
            <v>W28 SSRR - MATERIALES SVELTY 300G (VIBRIN STOPPER MARCO PRECIO)</v>
          </cell>
        </row>
        <row r="911">
          <cell r="R911" t="str">
            <v>W28 SSRR - MATERIALES SVELTY 300G (VIBRIN STOPPER MARCO PRECIO)</v>
          </cell>
        </row>
        <row r="912">
          <cell r="R912" t="str">
            <v>W28 SSRR - MATERIALES SVELTY 300G (FLEJERA EN L)</v>
          </cell>
        </row>
        <row r="913">
          <cell r="R913" t="str">
            <v>W29 SSRR - MATERIALES NIDO NUTRI ESENCIAL (VIBRIN MARCO PRECIO STOPPER)</v>
          </cell>
        </row>
        <row r="914">
          <cell r="R914" t="str">
            <v>W29 SSRR - MATERIALES NIDO NUTRI ESENCIAL (VIBRIN MARCO PRECIO STOPPER)</v>
          </cell>
        </row>
        <row r="915">
          <cell r="R915" t="str">
            <v>W29 SSRR - MATERIALES NIDO NUTRI ESENCIAL (VIBRIN MARCO PRECIO STOPPER)</v>
          </cell>
        </row>
        <row r="916">
          <cell r="R916" t="str">
            <v>W29 SSRR - MATERIALES NIDO NUTRI ESENCIAL (FLEJERA EN L)</v>
          </cell>
        </row>
        <row r="917">
          <cell r="R917" t="str">
            <v>W29 SSRR - MATERIALES NIDO NUTRI ESENCIAL (GANCHERA)</v>
          </cell>
        </row>
        <row r="918">
          <cell r="R918" t="str">
            <v>W36 UNIMARC -  FLEJERAS MILO (BANDEJA EN L)</v>
          </cell>
        </row>
        <row r="919">
          <cell r="R919" t="str">
            <v>W36 JUMBO -  FLEJERAS MILO (BANDEJA EN L)</v>
          </cell>
        </row>
        <row r="920">
          <cell r="R920" t="str">
            <v>W36 SISA -  FLEJERAS MILO (BANDEJA EN L)</v>
          </cell>
        </row>
        <row r="921">
          <cell r="R921" t="str">
            <v>W36 TOTTUS -  FLEJERAS MILO (BANDEJA EN L)</v>
          </cell>
        </row>
        <row r="922">
          <cell r="R922" t="str">
            <v>W36 SSRR - MILO INSTITUCIONAL (BANDEJA EN L)</v>
          </cell>
        </row>
        <row r="923">
          <cell r="R923" t="str">
            <v>W36 SSRR - MILO INSTITUCIONAL (PAYLOADER)</v>
          </cell>
        </row>
        <row r="924">
          <cell r="R924" t="str">
            <v>W36 SSRR - MILO INSTITUCIONAL (GANCHERA)</v>
          </cell>
        </row>
        <row r="925">
          <cell r="R925" t="str">
            <v>W36 TOTTUS - NIDO CHOCOLATE (MARCO PRECIO VIBRIN STOPPER)</v>
          </cell>
        </row>
        <row r="926">
          <cell r="R926" t="str">
            <v>W36 TOTTUS - NIDO CHOCOLATE (MARCO PRECIO VIBRIN STOPPER)</v>
          </cell>
        </row>
        <row r="927">
          <cell r="R927" t="str">
            <v>W36 TOTTUS - NIDO CHOCOLATE (MARCO PRECIO VIBRIN STOPPER)</v>
          </cell>
        </row>
        <row r="928">
          <cell r="R928" t="str">
            <v>W36 TOTTUS - NIDO CHOCOLATE (BANDEJA EN L)</v>
          </cell>
        </row>
        <row r="929">
          <cell r="R929" t="str">
            <v>W41 UNIMARC - SVELTY SEMI DESCREMADA (STOPPER VIBRIN MARCO PRECIO)</v>
          </cell>
        </row>
        <row r="930">
          <cell r="R930" t="str">
            <v>W41 UNIMARC - SVELTY SEMI DESCREMADA (STOPPER VIBRIN MARCO PRECIO)</v>
          </cell>
        </row>
        <row r="931">
          <cell r="R931" t="str">
            <v>W41 UNIMARC - SVELTY SEMI DESCREMADA (STOPPER VIBRIN MARCO PRECIO)</v>
          </cell>
        </row>
        <row r="932">
          <cell r="R932" t="str">
            <v>W41 UNIMARC - SVELTY SEMI DESCREMADA (FLEJERA EN L)</v>
          </cell>
        </row>
        <row r="933">
          <cell r="R933" t="str">
            <v>W41 TOTTUS - SVELTY SEMI DESCREMADA (STOPPER VIBRIN MARCO PRECIO)</v>
          </cell>
        </row>
        <row r="934">
          <cell r="R934" t="str">
            <v>W41 TOTTUS - SVELTY SEMI DESCREMADA (STOPPER VIBRIN MARCO PRECIO)</v>
          </cell>
        </row>
        <row r="935">
          <cell r="R935" t="str">
            <v>W41 TOTTUS - SVELTY SEMI DESCREMADA (STOPPER VIBRIN MARCO PRECIO)</v>
          </cell>
        </row>
        <row r="936">
          <cell r="R936" t="str">
            <v>W41 TOTTUS - SVELTY SEMI DESCREMADA (FLEJERA EN L)</v>
          </cell>
        </row>
        <row r="937">
          <cell r="R937" t="str">
            <v>W39 UNIMARC - GANCHERAS MAGGI (GANCHERA)</v>
          </cell>
        </row>
        <row r="938">
          <cell r="R938" t="str">
            <v>W43 UNIMARC - CUBRE PALLETS KUKY (CUBREPALLET)</v>
          </cell>
        </row>
        <row r="939">
          <cell r="R939" t="str">
            <v>W43 UNIMARC - CUBRE PALLETS CRIOLLITAS (CUBREPALLET)</v>
          </cell>
        </row>
        <row r="940">
          <cell r="R940" t="str">
            <v>W40 JUMBO - GANCHERAS MAGGI (GANCHERA)</v>
          </cell>
        </row>
        <row r="941">
          <cell r="R941" t="str">
            <v>W40 JUMBO - GANCHERAS MAGGI (STICKER)</v>
          </cell>
        </row>
        <row r="942">
          <cell r="R942" t="str">
            <v>W40 SISA - GANCHERAS MAGGI (GANCHERA STICKER QR)</v>
          </cell>
        </row>
        <row r="943">
          <cell r="R943" t="str">
            <v>W40 SISA - GANCHERAS MAGGI (GANCHERA STICKER QR)</v>
          </cell>
        </row>
        <row r="944">
          <cell r="R944" t="str">
            <v>W39 ALVI - HALLOWEEN (PEDESTAL)</v>
          </cell>
        </row>
        <row r="945">
          <cell r="R945" t="str">
            <v>W39 ALVI - HALLOWEEN (BOTADERO)</v>
          </cell>
        </row>
        <row r="946">
          <cell r="R946" t="str">
            <v>W39 MAYORISTA 10 - HALLOWEEN (BOTADERO)</v>
          </cell>
        </row>
        <row r="947">
          <cell r="R947" t="str">
            <v>W39 SUPER 10 - HALLOWEEN (BOTADERO)</v>
          </cell>
        </row>
        <row r="948">
          <cell r="R948" t="str">
            <v>W39 UNIMARC - HALLOWEEN (PEDESTAL)</v>
          </cell>
        </row>
        <row r="949">
          <cell r="R949" t="str">
            <v>W39 UNIMARC - HALLOWEEN (BOTADERO)</v>
          </cell>
        </row>
        <row r="950">
          <cell r="R950" t="str">
            <v>W39 SISA - HALLOWEEN (BOTADERO)</v>
          </cell>
        </row>
        <row r="951">
          <cell r="R951" t="str">
            <v>W39 JUMBO - HALLOWEEN (BOTADERO)</v>
          </cell>
        </row>
        <row r="952">
          <cell r="R952" t="str">
            <v>W40 SISA - PAYLOADERS MAGGI (PAYLOADERS)</v>
          </cell>
        </row>
        <row r="953">
          <cell r="R953" t="str">
            <v>W41 HIPER LIDER - NESCAFÉ NUEVA IMAGEN (COLGANTE)</v>
          </cell>
        </row>
        <row r="954">
          <cell r="R954" t="str">
            <v>W41 HIPER LIDER - NESCAFÉ NUEVA IMAGEN (METRO TREND)</v>
          </cell>
        </row>
        <row r="955">
          <cell r="R955" t="str">
            <v>W41 HIPER LIDER - NESCAFÉ NUEVA IMAGEN (SEPARADOR XL)</v>
          </cell>
        </row>
        <row r="956">
          <cell r="R956" t="str">
            <v>W41 HIPER LIDER - LISTA 6 CHOCOLATES SN/TRENCITO (PAYLOADER)</v>
          </cell>
        </row>
        <row r="957">
          <cell r="R957" t="str">
            <v>W41 ACUENTA - LISTA 6 BOTADERO GALLETAS MINI (BOTADERO)</v>
          </cell>
        </row>
        <row r="958">
          <cell r="R958" t="str">
            <v>W36 SSRR -  MILO INSTITUCIONAL ADICIONAL(BANDEJA EN L)</v>
          </cell>
        </row>
        <row r="959">
          <cell r="R959" t="str">
            <v>W39 SSRR - NIDO CHOCOLATE (VIBRIN 12X12 VIBRIN 15X30 MARCO PRECIO)</v>
          </cell>
        </row>
        <row r="960">
          <cell r="R960" t="str">
            <v>W39 SSRR - NIDO CHOCOLATE (VIBRIN 12X12 VIBRIN 15X30 MARCO PRECIO)</v>
          </cell>
        </row>
        <row r="961">
          <cell r="R961" t="str">
            <v>W39 SSRR - NIDO CHOCOLATE (VIBRIN 12X12 VIBRIN 15X30 MARCO PRECIO)</v>
          </cell>
        </row>
        <row r="962">
          <cell r="R962" t="str">
            <v>W39 SSRR - NIDO CHOCOLATE (FLEJERA EN L)</v>
          </cell>
        </row>
        <row r="963">
          <cell r="R963" t="str">
            <v>W39 SSRR - NIDO CHOCOLATE (PAYLOADER)</v>
          </cell>
        </row>
        <row r="964">
          <cell r="R964" t="str">
            <v>W39 SSRR - NIDO CHOCOLATE (VIBRIN 12X12 VIBRIN 15X30 MARCO PRECIO)</v>
          </cell>
        </row>
        <row r="965">
          <cell r="R965" t="str">
            <v>W36 TOTTUS - FLEJERAS MILO (BANDEJA EN L)</v>
          </cell>
        </row>
        <row r="966">
          <cell r="R966" t="str">
            <v>W41 HIPER LIDER - PAYLOADERS NATURES HEART L6 (PAYLOADER)</v>
          </cell>
        </row>
        <row r="967">
          <cell r="R967" t="str">
            <v>W41 HIPER LIDER - NIDO CHOCOLATE L6 (PAYLOADER)</v>
          </cell>
        </row>
        <row r="968">
          <cell r="R968" t="str">
            <v>W41 HIPER LIDER - NIDO L6 (PAYLOADER)</v>
          </cell>
        </row>
        <row r="969">
          <cell r="R969" t="str">
            <v>W41 HIPER LIDER - PAYLOADERS CULINARIOS L6 (PAYLOADER)</v>
          </cell>
        </row>
        <row r="970">
          <cell r="R970" t="str">
            <v>W42 UNIMARC - NUTRI ESENCIAL (FLEJERA EN L)</v>
          </cell>
        </row>
        <row r="971">
          <cell r="R971" t="str">
            <v>W42 UNIMARC - NUTRI ESENCIAL (MARCO PRECIO VIBRIN STOPPER)</v>
          </cell>
        </row>
        <row r="972">
          <cell r="R972" t="str">
            <v>W42 UNIMARC - NUTRI ESENCIAL (MARCO PRECIO VIBRIN STOPPER)</v>
          </cell>
        </row>
        <row r="973">
          <cell r="R973" t="str">
            <v>W42 UNIMARC - NUTRI ESENCIAL (MARCO PRECIO VIBRIN STOPPER)</v>
          </cell>
        </row>
        <row r="974">
          <cell r="R974" t="str">
            <v>W42 SSRR - CONCURSO NATURNES (TOTEM)</v>
          </cell>
        </row>
        <row r="975">
          <cell r="R975" t="str">
            <v>W42 SSRR - CONCURSO NATURNES (FLEJERA EN L)</v>
          </cell>
        </row>
        <row r="976">
          <cell r="R976" t="str">
            <v>W42 SSRR - CONCURSO NATURNES (STOPPER VIBRIN MARCO PRECIO)</v>
          </cell>
        </row>
        <row r="977">
          <cell r="R977" t="str">
            <v>W42 SSRR - CONCURSO NATURNES (STOPPER VIBRIN MARCO PRECIO)</v>
          </cell>
        </row>
        <row r="978">
          <cell r="R978" t="str">
            <v>W42 SSRR - CONCURSO NATURNES (STOPPER VIBRIN MARCO PRECIO)</v>
          </cell>
        </row>
        <row r="979">
          <cell r="R979" t="str">
            <v>W42 SSRR - CONCURSO NATURNES (PAYLOADER)</v>
          </cell>
        </row>
        <row r="980">
          <cell r="R980" t="str">
            <v>W42 SSRR - CONCURSO NATURNES (BUZON)</v>
          </cell>
        </row>
        <row r="981">
          <cell r="R981" t="str">
            <v>W42 SSRR - CONCURSO NATURNES (TRICICLO)</v>
          </cell>
        </row>
        <row r="982">
          <cell r="R982" t="str">
            <v>W44 SISA - PAYLOADERS TRITON (PAYLOADER)</v>
          </cell>
        </row>
        <row r="983">
          <cell r="R983" t="str">
            <v>W41 HIPER LIDER - REVEST. CABECERAS PINTAS (CABECERA)</v>
          </cell>
        </row>
        <row r="984">
          <cell r="R984" t="str">
            <v>W41 SISA -  NESCAFÉ NUEVA IMAGEN (GANCHERA)</v>
          </cell>
        </row>
        <row r="985">
          <cell r="R985" t="str">
            <v>W41 JUMBO -  NESCAFÉ NUEVA IMAGEN (GANCHERA)</v>
          </cell>
        </row>
        <row r="986">
          <cell r="R986" t="str">
            <v>W47 HIPER LIDER - TRITON (CUBREALARMA HOMBRE)</v>
          </cell>
        </row>
        <row r="987">
          <cell r="R987" t="str">
            <v>W47 HIPER LIDER - TRITON (CUBREALARMA MUJER)</v>
          </cell>
        </row>
        <row r="988">
          <cell r="R988" t="str">
            <v>W47 HIPER LIDER - TRITON (METRO TREND)</v>
          </cell>
        </row>
        <row r="989">
          <cell r="R989" t="str">
            <v>W47 UNIMARC - CATÁLOGO DIC SAHNE NUSS (PAYLOADER)</v>
          </cell>
        </row>
        <row r="990">
          <cell r="R990" t="str">
            <v>W47 UNIMARC - CATÁLOGO DIC CHOKITA  (PAYLOADER)</v>
          </cell>
        </row>
        <row r="991">
          <cell r="R991" t="str">
            <v>W46 ALVI - MUEBLES NAVIDAD (BOTADERO)</v>
          </cell>
        </row>
        <row r="992">
          <cell r="R992" t="str">
            <v>W46 ALVI - MUEBLES NAVIDAD (PEDESTAL)</v>
          </cell>
        </row>
        <row r="993">
          <cell r="R993" t="str">
            <v>W46 M10 - MUEBLES NAVIDAD (PEDESTAL)</v>
          </cell>
        </row>
        <row r="994">
          <cell r="R994" t="str">
            <v>W46 M10 - MUEBLES NAVIDAD (BOTADERO)</v>
          </cell>
        </row>
        <row r="995">
          <cell r="R995" t="str">
            <v>W46 UNIMARC - MUEBLES NAVIDAD (PEDESTAL)</v>
          </cell>
        </row>
        <row r="996">
          <cell r="R996" t="str">
            <v>W46 UNIMARC - MUEBLES NAVIDAD (BOTADERO)</v>
          </cell>
        </row>
        <row r="997">
          <cell r="R997" t="str">
            <v>W46 S10 - MUEBLES NAVIDAD (PEDESTAL)</v>
          </cell>
        </row>
        <row r="998">
          <cell r="R998" t="str">
            <v>W46 S10 - MUEBLES NAVIDAD (BOTADERO)</v>
          </cell>
        </row>
        <row r="999">
          <cell r="R999" t="str">
            <v>W47 TOTTUS -  STOPPER SAHNE NUSS (STOPPER)</v>
          </cell>
        </row>
        <row r="1000">
          <cell r="R1000" t="str">
            <v>W47 HIPER LIDER - PAYLOADER SAHNE NUSS NAVIDAD (PAYLOADER)</v>
          </cell>
        </row>
        <row r="1001">
          <cell r="R1001" t="str">
            <v>W47 HIPER LIDER - PAYLOADER SAHNE NUSS NAVIDAD (PAYLOADER)</v>
          </cell>
        </row>
        <row r="1002">
          <cell r="R1002" t="str">
            <v>W48 JUMBO - POP MEGA TRÍO (VIBRIN)</v>
          </cell>
        </row>
        <row r="1003">
          <cell r="R1003" t="str">
            <v>W47 HIPER LIDER - POP MEGA TRÍO (SEPARADOR XL)</v>
          </cell>
        </row>
        <row r="1004">
          <cell r="R1004" t="str">
            <v>W47 HIPER LIDER - POP MEGA TRÍO (LATERAL CABECERA)</v>
          </cell>
        </row>
        <row r="1005">
          <cell r="R1005" t="str">
            <v>W47 HIPER LIDER - POP MEGA TRÍO (COLGANTE)</v>
          </cell>
        </row>
        <row r="1006">
          <cell r="R1006" t="str">
            <v>W47 HIPER LIDER - PAYLOADER L6 NIDO ETAPA 2 (PAYLOADER)</v>
          </cell>
        </row>
        <row r="1007">
          <cell r="R1007" t="str">
            <v>W47 HIPER LIDER - MILO L6 (PAYLOADER)</v>
          </cell>
        </row>
        <row r="1008">
          <cell r="R1008" t="str">
            <v>W47 HIPER LIDER - EXHIBICIONES BOMBILLINES LISTA 6 ETAPA 2 MILO SIN LACTOSA (MINICABECERA)</v>
          </cell>
        </row>
        <row r="1009">
          <cell r="R1009" t="str">
            <v>W49 TOTTUS - GANCHERAS MAGGI (GANCHERA)</v>
          </cell>
        </row>
        <row r="1010">
          <cell r="R1010" t="str">
            <v>W51 TOTTUS - POP NESCAFÉ NUEVA IMAGEN (STOPPER)</v>
          </cell>
        </row>
        <row r="1011">
          <cell r="R1011" t="str">
            <v>W51 TOTTUS - POP NESCAFÉ NUEVA IMAGEN (CUBREPALLETS)</v>
          </cell>
        </row>
        <row r="1012">
          <cell r="R1012" t="str">
            <v>W1 HIPER LIDER - PAYLOADER MILO L1 (PAYLOADER)</v>
          </cell>
        </row>
        <row r="1013">
          <cell r="R1013" t="str">
            <v>W2 HIPER LIDER - PAYLOADERS CULINARIOS L1 (PAYLOADER)</v>
          </cell>
        </row>
        <row r="1014">
          <cell r="R1014" t="str">
            <v>W2 SSRR - PLAN VERANO SAVORY (BIGBOY)</v>
          </cell>
        </row>
        <row r="1015">
          <cell r="R1015" t="str">
            <v>W2 SSRR - PLAN VERANO SAVORY (STOPPER)</v>
          </cell>
        </row>
        <row r="1016">
          <cell r="R1016" t="str">
            <v>W2 SSRR - PLAN VERANO SAVORY (VIBRIN)</v>
          </cell>
        </row>
        <row r="1017">
          <cell r="R1017" t="str">
            <v>W2 SSRR - PLAN VERANO SAVORY (LOMO NAVE)</v>
          </cell>
        </row>
        <row r="1018">
          <cell r="R1018" t="str">
            <v>W2 SSRR - PLAN VERANO SAVORY (HUINCHA COOLER)</v>
          </cell>
        </row>
        <row r="1019">
          <cell r="R1019" t="str">
            <v>W2 SSRR - PLAN VERANO SAVORY (DRON)</v>
          </cell>
        </row>
        <row r="1020">
          <cell r="R1020" t="str">
            <v>W2 HIPER LIDER - PAYLOADER SN SAN VALENTÍN (PAYLOADER)</v>
          </cell>
        </row>
        <row r="1021">
          <cell r="R1021" t="str">
            <v>W2 HIPER LIDER - HOTSPOT TRITON (HOTSPOT)</v>
          </cell>
        </row>
        <row r="1022">
          <cell r="R1022" t="str">
            <v>W5 SISA - ESQUINEROS MANJAR(ESQUINEROS)</v>
          </cell>
        </row>
        <row r="1023">
          <cell r="R1023" t="str">
            <v>W3 UNIMARC - PAYLOADER SN SAN VALENTÍN (PAYLOADER)</v>
          </cell>
        </row>
        <row r="1024">
          <cell r="R1024" t="str">
            <v>W5 JUMBO - ISLA SN SAN VALENTÍN (ISLA)</v>
          </cell>
        </row>
        <row r="1025">
          <cell r="R1025" t="str">
            <v>W6 UNIMARC - MEGA TRÍO (VIBRIN STOPPER)</v>
          </cell>
        </row>
        <row r="1026">
          <cell r="R1026" t="str">
            <v>W6 UNIMARC - MEGA TRÍO (VIBRIN STOPPER)</v>
          </cell>
        </row>
        <row r="1027">
          <cell r="R1027" t="str">
            <v>W5 TOTTUS - MEGA TRÍO (  LATERAL CABECERA)</v>
          </cell>
        </row>
        <row r="1028">
          <cell r="R1028" t="str">
            <v>W5 TOTTUS - MEGA TRÍO (  VIBRÍN STOPPER)</v>
          </cell>
        </row>
        <row r="1029">
          <cell r="R1029" t="str">
            <v>W5 TOTTUS - MEGA TRÍO (  VIBRÍN STOPPER)</v>
          </cell>
        </row>
        <row r="1030">
          <cell r="R1030" t="str">
            <v>W5 TOTTUS - MEGA TRÍO (  CUBREALARMA)</v>
          </cell>
        </row>
        <row r="1031">
          <cell r="R1031" t="str">
            <v>W7 HIPER LIDER - MEGA TRÍO (  LATERAL CABECERA)</v>
          </cell>
        </row>
        <row r="1032">
          <cell r="R1032" t="str">
            <v>W7 HIPER LIDER - MEGA TRÍO (  VIBRÍN STOPPER)</v>
          </cell>
        </row>
        <row r="1033">
          <cell r="R1033" t="str">
            <v>W7 HIPER LIDER - MEGA TRÍO (  VIBRÍN STOPPER)</v>
          </cell>
        </row>
        <row r="1034">
          <cell r="R1034" t="str">
            <v>W7 LIDER EXPRESS - MEGA TRÍO (  VIBRÍN STOPPER)</v>
          </cell>
        </row>
        <row r="1035">
          <cell r="R1035" t="str">
            <v>W7 LIDER EXPRESS - MEGA TRÍO (  VIBRÍN STOPPER)</v>
          </cell>
        </row>
        <row r="1036">
          <cell r="R1036" t="str">
            <v>W5 JUMBO - MEGA TRÍO (   LATERAL CABECERA)</v>
          </cell>
        </row>
        <row r="1037">
          <cell r="R1037" t="str">
            <v>W5 JUMBO - MEGA TRÍO (   VIBRÍN)</v>
          </cell>
        </row>
        <row r="1038">
          <cell r="R1038" t="str">
            <v>W5 JUMBO - MEGA TRÍO (   MARCO PUERTA)</v>
          </cell>
        </row>
        <row r="1039">
          <cell r="R1039" t="str">
            <v>W5 SISA - MEGA TRÍO (   VIBRÍN)</v>
          </cell>
        </row>
        <row r="1040">
          <cell r="R1040" t="str">
            <v>W5 SISA - MEGA TRÍO (   MARCO PUERTA)</v>
          </cell>
        </row>
        <row r="1041">
          <cell r="R1041" t="str">
            <v>W8 ALVI - CUBREPALLETS MANJAR (CUBREPALLETS)</v>
          </cell>
        </row>
        <row r="1042">
          <cell r="R1042" t="str">
            <v>W8 UNIMARC - BTS GALLETAS ESPECIALES (PAYLOADER)</v>
          </cell>
        </row>
        <row r="1043">
          <cell r="R1043" t="str">
            <v>W8 UNIMARC -  BOTADEROS GALLETAS BTS (BOTADEROS)</v>
          </cell>
        </row>
        <row r="1044">
          <cell r="R1044" t="str">
            <v>W8 MAYORISTA 10 - BOTADEROS GALLETAS BTS (BOTADEROS)</v>
          </cell>
        </row>
        <row r="1045">
          <cell r="R1045" t="str">
            <v>W8 SUPER 10 - BOTADEROS GALLETAS BTS (BOTADEROS)</v>
          </cell>
        </row>
        <row r="1046">
          <cell r="R1046" t="str">
            <v>W8 MONSERRAT - BOTADEROS GALLETAS BTS (BOTADEROS)</v>
          </cell>
        </row>
        <row r="1047">
          <cell r="R1047" t="str">
            <v>W7 HIPER LIDER - PAYLOADER NATURNES L1 (PAYLOADERS)</v>
          </cell>
        </row>
        <row r="1048">
          <cell r="R1048" t="str">
            <v>W7 HIPER LIDER - PAYLOADERS BALLS L1E2 (PAYLOADERS)</v>
          </cell>
        </row>
        <row r="1049">
          <cell r="R1049" t="str">
            <v>W7 HIPER LIDER -  DISTRIBUCION NIDO CHOCOLATE (MARCO GONDOLA)</v>
          </cell>
        </row>
        <row r="1050">
          <cell r="R1050" t="str">
            <v>W7 HIPER LIDER -  DISTRIBUCION NIDO CHOCOLATE (METRO TREND)</v>
          </cell>
        </row>
        <row r="1051">
          <cell r="R1051" t="str">
            <v>W7 HIPER LIDER -  DISTRIBUCION NIDO CHOCOLATE (FLEJERA EN L)</v>
          </cell>
        </row>
        <row r="1052">
          <cell r="R1052" t="str">
            <v>W7 HIPER LIDER -  DISTRIBUCION NIDO CHOCOLATE (STOPPER XL)</v>
          </cell>
        </row>
        <row r="1053">
          <cell r="R1053" t="str">
            <v>W7 HIPER LIDER - ISLA MANJAR  L1 (REVESTIMIENTO)</v>
          </cell>
        </row>
        <row r="1054">
          <cell r="R1054" t="str">
            <v>W7 ALVI - CUBREPALLETS MANJAR (CUBREPALLET)</v>
          </cell>
        </row>
        <row r="1055">
          <cell r="R1055" t="str">
            <v>W8 TOTTUS - BOTADEROS MAGGI (BOTADEROS)</v>
          </cell>
        </row>
        <row r="1056">
          <cell r="R1056" t="str">
            <v>W8 TOTTUS - NATURNES (MARCO GONDOLA)</v>
          </cell>
        </row>
        <row r="1057">
          <cell r="R1057" t="str">
            <v>W8 TOTTUS - NATURNES (STOPPER GONDOLA)</v>
          </cell>
        </row>
        <row r="1058">
          <cell r="R1058" t="str">
            <v>W9 TOTTUS - NIDO (VIBRIN NIDO CHOCOLATE)</v>
          </cell>
        </row>
        <row r="1059">
          <cell r="R1059" t="str">
            <v>W9 TOTTUS - NIDO (MARCO PRECIO NIDO CHOCOLATE)</v>
          </cell>
        </row>
        <row r="1060">
          <cell r="R1060" t="str">
            <v>W9 TOTTUS - NIDO (FLEJERA EN L NIDO CHOCOLATE)</v>
          </cell>
        </row>
        <row r="1061">
          <cell r="R1061" t="str">
            <v>W9 TOTTUS - NIDO (FLEJERA NUTRI ESENCIAL)</v>
          </cell>
        </row>
        <row r="1062">
          <cell r="R1062" t="str">
            <v>W9 TOTTUS - NIDO (VIBRIN NUTRI ESENCIAL )</v>
          </cell>
        </row>
        <row r="1063">
          <cell r="R1063" t="str">
            <v>W9 TOTTUS - NIDO (MARCO NUTRI ESENCIAL)</v>
          </cell>
        </row>
        <row r="1064">
          <cell r="R1064" t="str">
            <v>W9 UNIMARC - NIDO (VIBRIN NIDO CHOCOLATE)</v>
          </cell>
        </row>
        <row r="1065">
          <cell r="R1065" t="str">
            <v>W9 UNIMARC - NIDO (MARCO PRECIO NIDO CHOCOLATE)</v>
          </cell>
        </row>
        <row r="1066">
          <cell r="R1066" t="str">
            <v>W9 UNIMARC - NIDO (FLEJERA EN L NIDO CHOCOLATE)</v>
          </cell>
        </row>
        <row r="1067">
          <cell r="R1067" t="str">
            <v>W9 UNIMARC - NIDO (FLEJERA NUTRI ESENCIAL)</v>
          </cell>
        </row>
        <row r="1068">
          <cell r="R1068" t="str">
            <v>W9 UNIMARC - NIDO (VIBRIN NUTRI ESENCIAL )</v>
          </cell>
        </row>
        <row r="1069">
          <cell r="R1069" t="str">
            <v>W9 UNIMARC - NIDO (MARCO NUTRI ESENCIAL)</v>
          </cell>
        </row>
        <row r="1070">
          <cell r="R1070" t="str">
            <v>W8 JUMBO -  DISTRIBUCION NIDO CHOCOLATE  (GANCHERA)</v>
          </cell>
        </row>
        <row r="1071">
          <cell r="R1071" t="str">
            <v>W8 SISA -  DISTRIBUCION NIDO CHOCOLATE (GANCHERA)</v>
          </cell>
        </row>
        <row r="1072">
          <cell r="R1072" t="str">
            <v>W9 ALVI - PASCUA (PEDESTAL ANTIBRECHA)</v>
          </cell>
        </row>
        <row r="1073">
          <cell r="R1073" t="str">
            <v>W9 ALVI - PASCUA (BOTADERO)</v>
          </cell>
        </row>
        <row r="1074">
          <cell r="R1074" t="str">
            <v>W9 MAYORISTA 10 - PASCUA (PEDESTAL ANTIBRECHA)</v>
          </cell>
        </row>
        <row r="1075">
          <cell r="R1075" t="str">
            <v>W9 MAYORISTA 10 - PASCUA (BOTADERO)</v>
          </cell>
        </row>
        <row r="1076">
          <cell r="R1076" t="str">
            <v>W9 SUPER 10 - PASCUA (PEDESTAL ANTIBRECHA)</v>
          </cell>
        </row>
        <row r="1077">
          <cell r="R1077" t="str">
            <v>W9 SUPER 10 - PASCUA (BOTADERO)</v>
          </cell>
        </row>
        <row r="1078">
          <cell r="R1078" t="str">
            <v>W9 UNIMARC - PASCUA (PEDESTAL ANTIBRECHA)</v>
          </cell>
        </row>
        <row r="1079">
          <cell r="R1079" t="str">
            <v>W9 UNIMARC - PASCUA (BOTADERO)</v>
          </cell>
        </row>
        <row r="1080">
          <cell r="R1080" t="str">
            <v>W9 TOTTUS - PASCUA (PEDESTAL ANTIBRECHA)</v>
          </cell>
        </row>
        <row r="1081">
          <cell r="R1081" t="str">
            <v>W10 JUMBO -  REVESTIMIENTO ISLA SAHNE NUSS (REVESTIMIENTO)</v>
          </cell>
        </row>
        <row r="1082">
          <cell r="R1082" t="str">
            <v>W11 NESTLE - SALAS DE VENTA NESTLE PASCUA (PAYLOADER)</v>
          </cell>
        </row>
        <row r="1083">
          <cell r="R1083" t="str">
            <v>W11 OXXO - CABECERAS HUEVITOS 2025 (CABECERA SIMPLE 4 CABECERA SIMPLE 5)</v>
          </cell>
        </row>
        <row r="1084">
          <cell r="R1084" t="str">
            <v>W11 OXXO - CABECERAS HUEVITOS 2025 (CABECERA SIMPLE 4 CABECERA SIMPLE 5)</v>
          </cell>
        </row>
        <row r="1085">
          <cell r="R1085" t="str">
            <v>W13 JUMBO - PASCUA (MEDIA EXHIBICIÓN (0,5))</v>
          </cell>
        </row>
        <row r="1086">
          <cell r="R1086" t="str">
            <v>W13 JUMBO - PASCUA (EXHIBICION COMPLETA (1))</v>
          </cell>
        </row>
        <row r="1087">
          <cell r="R1087" t="str">
            <v>W13 JUMBO - PASCUA (PEDESTALES NESTLE)</v>
          </cell>
        </row>
        <row r="1088">
          <cell r="R1088" t="str">
            <v>W13 JUMBO - PASCUA (BOTADERO NESTLE)</v>
          </cell>
        </row>
        <row r="1089">
          <cell r="R1089" t="str">
            <v>W13 SISA - PASCUA (PEDESTALES NESTLE)</v>
          </cell>
        </row>
        <row r="1090">
          <cell r="R1090" t="str">
            <v>W13 SISA - PASCUA (BOTADERO NESTLE)</v>
          </cell>
        </row>
        <row r="1091">
          <cell r="R1091" t="str">
            <v>W12 SSRR - PASCUA (PAYLOADER Y REVESTIMIENTO TRENCITO PASCUA)</v>
          </cell>
        </row>
        <row r="1092">
          <cell r="R1092" t="str">
            <v>W13 HIPER LIDER - METRO REVESTIMIENTO CABECERA (REVESTIMIENTO CABECERA SAHNE NUSS)</v>
          </cell>
        </row>
        <row r="1093">
          <cell r="R1093" t="str">
            <v>W13 HIPER LIDER - METRO TREND SAHNE NUSS (METRO TREND SAHNE NUSS)</v>
          </cell>
        </row>
        <row r="1094">
          <cell r="R1094" t="str">
            <v>W13 HIPER LIDER - METRO TREND SAHNE NUSS (FLEJERA SAHNE NUSS)</v>
          </cell>
        </row>
        <row r="1095">
          <cell r="R1095" t="str">
            <v>W13 LIDER EXPRESS - METRO TREND SAHNE NUSS (METRO TREND SAHNE NUSS)</v>
          </cell>
        </row>
        <row r="1096">
          <cell r="R1096" t="str">
            <v>W13 LIDER EXPRESS - METRO TREND SAHNE NUSS (FLEJERA SAHNE NUSS)</v>
          </cell>
        </row>
        <row r="1097">
          <cell r="R1097" t="str">
            <v>W13 HIPER LIDER - STOPPER XL SAHNE NUSS (STOPPER SAHNE NUSS)</v>
          </cell>
        </row>
        <row r="1098">
          <cell r="R1098" t="str">
            <v>W13 LIDER EXPRESS - STOPPER XL SAHNE NUSS (STOPPER SAHNE NUSS)</v>
          </cell>
        </row>
        <row r="1099">
          <cell r="R1099" t="str">
            <v>W13 JUMBO - GANCHERA SAHNE NUSS (GANCHERA SAHNE NUSS ANTIBRECHA)</v>
          </cell>
        </row>
        <row r="1100">
          <cell r="R1100" t="str">
            <v>W13 SISA - PAYLOADER SAHNE NUSS (PAYLOADERS SAHNE NUSS)</v>
          </cell>
        </row>
        <row r="1101">
          <cell r="R1101" t="str">
            <v>W13 JUMBO -  GANCHERA RINDE CARNE MAGGI (GANCHERA)</v>
          </cell>
        </row>
        <row r="1102">
          <cell r="R1102" t="str">
            <v>W13 SISA -  GANCHERA RINDE CARNE MAGGI (GANCHERA)</v>
          </cell>
        </row>
        <row r="1103">
          <cell r="R1103" t="str">
            <v>W15 SSRR - RECETAS NESTLÉ(ISLA MAGGI ISLA TRITON ISLA MANJAR)</v>
          </cell>
        </row>
        <row r="1104">
          <cell r="R1104" t="str">
            <v>W15 SSRR - RECETAS NESTLÉ(ISLA MAGGI ISLA TRITON ISLA MANJAR)</v>
          </cell>
        </row>
        <row r="1105">
          <cell r="R1105" t="str">
            <v>W15 SSRR - RECETAS NESTLÉ(ISLA MAGGI ISLA TRITON ISLA MANJAR)</v>
          </cell>
        </row>
        <row r="1106">
          <cell r="R1106" t="str">
            <v>W16 TOTTUS - GANCHERA RINDE CARNE MAGGI (GANCHERA)</v>
          </cell>
        </row>
        <row r="1107">
          <cell r="R1107" t="str">
            <v>W17 HIPER LIDER - REFORESTEMOS (ISLA NESTLE)</v>
          </cell>
        </row>
        <row r="1108">
          <cell r="R1108" t="str">
            <v>W17 HIPER LIDER - REFORESTEMOS (ISLA P&amp;G)</v>
          </cell>
        </row>
        <row r="1109">
          <cell r="R1109" t="str">
            <v>W17 HIPER LIDER - REFORESTEMOS (ISLA MIXTA)</v>
          </cell>
        </row>
        <row r="1110">
          <cell r="R1110" t="str">
            <v>W16 UNIMARC - DIA DE LA MADRE (PAYLOADER SAHNE NUSS REGALA AMOR)</v>
          </cell>
        </row>
        <row r="1111">
          <cell r="R1111" t="str">
            <v>W16 UNIMARC - DIA DE LA MADRE (EXPOSICION 1/3 SAHNE NUSS)</v>
          </cell>
        </row>
        <row r="1112">
          <cell r="R1112" t="str">
            <v>W16 UNIMARC - DIA DE LA MADRE (ISLA DIA DE LA MADRE SAHNE NUSS)</v>
          </cell>
        </row>
        <row r="1113">
          <cell r="R1113" t="str">
            <v>W17 SISA - PAYLOADER MAGGI TUCCO 200G (PAYLOADER)</v>
          </cell>
        </row>
        <row r="1114">
          <cell r="R1114" t="str">
            <v>W17 SISA - PAYLOADER MAGGI (PAYLOADER)</v>
          </cell>
        </row>
        <row r="1115">
          <cell r="R1115" t="str">
            <v>W18 TOTTUS - DIA DE LA MADRE (ISLA)</v>
          </cell>
        </row>
        <row r="1116">
          <cell r="R1116" t="str">
            <v>W18 HIPER LIDER - DIA DE LA MADRE (CUBREPALLETS)</v>
          </cell>
        </row>
        <row r="1117">
          <cell r="R1117" t="str">
            <v>W17 HIPER LIDER - HOTSPOT TRENCITO (HOTSPOT)</v>
          </cell>
        </row>
        <row r="1118">
          <cell r="R1118" t="str">
            <v>W17 ACUENTA - PAYLOADEAR SAHNE NUSS CON CENEFA DIA DE LA MADRE (PAYLOADER)</v>
          </cell>
        </row>
        <row r="1119">
          <cell r="R1119" t="str">
            <v>W17 ACUENTA - PAYLOADEAR SAHNE NUSS CON CENEFA DIA DE LA MADRE (CENEFA)</v>
          </cell>
        </row>
        <row r="1120">
          <cell r="R1120" t="str">
            <v>W16 TOTTUS - GANCHERA SAHNE NUSS (GANCHERA)</v>
          </cell>
        </row>
        <row r="1121">
          <cell r="R1121" t="str">
            <v>W19 TOTTUS - CAMPAÑA BUENA VIDA (ISLA BUENA VIDA )</v>
          </cell>
        </row>
        <row r="1122">
          <cell r="R1122" t="str">
            <v>W19 TOTTUS - CAMPAÑA BUENA VIDA (ISLA RECETA SOPA)</v>
          </cell>
        </row>
        <row r="1123">
          <cell r="R1123" t="str">
            <v>CAMPAÑA RETIRO PAYLOADERS NATURNES LISTA 1 WALMART</v>
          </cell>
        </row>
        <row r="1124">
          <cell r="R1124" t="str">
            <v>W19 TOTTUS - CAMPAÑA BUENA VIDA (CABECERA)</v>
          </cell>
        </row>
        <row r="1125">
          <cell r="R1125" t="str">
            <v>W19 TOTTUS - CAMPAÑA BUENA VIDA (VIBRIN)</v>
          </cell>
        </row>
        <row r="1126">
          <cell r="R1126" t="str">
            <v>W19 TOTTUS - CAMPAÑA BUENA VIDA (STOPPER)</v>
          </cell>
        </row>
        <row r="1127">
          <cell r="R1127" t="str">
            <v>W21 HIPER LIDER - QR REFORESTEMOS (QR ISLA NESTLE)</v>
          </cell>
        </row>
        <row r="1128">
          <cell r="R1128" t="str">
            <v>W21 HIPER LIDER - QR REFORESTEMOS (QR ISLA MIXTA)</v>
          </cell>
        </row>
        <row r="1129">
          <cell r="R1129" t="str">
            <v>W21 HIPER LIDER - QR REFORESTEMOS (QR ISLA P&amp;G)</v>
          </cell>
        </row>
        <row r="1130">
          <cell r="R1130" t="str">
            <v>W22 JUMBO - CAMPAÑA RECETAS NESTLE (ISLA TRES LECHES)</v>
          </cell>
        </row>
        <row r="1131">
          <cell r="R1131" t="str">
            <v>W22 JUMBO - CAMPAÑA RECETAS NESTLE (ISLA TRITON)</v>
          </cell>
        </row>
        <row r="1132">
          <cell r="R1132" t="str">
            <v>W22 TOTTUS - CAMPAÑA BUENA VIDA (ARCO)</v>
          </cell>
        </row>
        <row r="1133">
          <cell r="R1133" t="str">
            <v>W22 UNIMARC - CAMPAÑA BUENA VIDA (PAYLOADER)</v>
          </cell>
        </row>
        <row r="1134">
          <cell r="R1134" t="str">
            <v>W22 UNIMARC - CAMPAÑA BUENA VIDA (ISLA)</v>
          </cell>
        </row>
        <row r="1135">
          <cell r="R1135" t="str">
            <v>W22 UNIMARC - CAMPAÑA BUENA VIDA (CABECERA)</v>
          </cell>
        </row>
        <row r="1136">
          <cell r="R1136" t="str">
            <v>W22 UNIMARC - CAMPAÑA BUENA VIDA (STOPPER)</v>
          </cell>
        </row>
        <row r="1137">
          <cell r="R1137" t="str">
            <v>W22 UNIMARC - CAMPAÑA BUENA VIDA (VIBRIN)</v>
          </cell>
        </row>
        <row r="1138">
          <cell r="R1138" t="str">
            <v>W22 SISA - TRENCITO (PAYLOADER)</v>
          </cell>
        </row>
        <row r="1139">
          <cell r="R1139" t="str">
            <v>W22 UNIMARC - TRENCITO (PAYLOADER)</v>
          </cell>
        </row>
        <row r="1140">
          <cell r="R1140" t="str">
            <v>W22 UNIMARC - TRENCITO (ISLA)</v>
          </cell>
        </row>
        <row r="1141">
          <cell r="R1141" t="str">
            <v>W24 HIPER LIDER - PAYLOADER NATURNES L2 TRAFICO (PAYLOADER)</v>
          </cell>
        </row>
        <row r="1142">
          <cell r="R1142" t="str">
            <v>W24 LIDER EXPRESS - PAYLOADER NATURNES L2 TRAFICO (PAYLOADER)</v>
          </cell>
        </row>
        <row r="1143">
          <cell r="R1143" t="str">
            <v>W24 HIPER LIDER - REVESTIMIENTO MANJAR L2 TRÁFICO (REVESTIMIENTO ISLA)</v>
          </cell>
        </row>
        <row r="1144">
          <cell r="R1144" t="str">
            <v>W24 ACUENTA - REVESTIMIENTO MANJAR L2 TRÁFICO (REVESTIMIENTO ISLA)</v>
          </cell>
        </row>
        <row r="1145">
          <cell r="R1145" t="str">
            <v>W24 LIDER EXPRESS -  DISTRIBUCION CABECERA MILO NIDO LISTA TRAFICO (CABECERA)</v>
          </cell>
        </row>
        <row r="1146">
          <cell r="R1146" t="str">
            <v>W24 HIPER LIDER -  DISTRIBUCION CABECERA MILO NIDO LISTA TRAFICO (CABECERA)</v>
          </cell>
        </row>
        <row r="1147">
          <cell r="R1147" t="str">
            <v>W24 HIPER LIDER -  DISTRIBUCION PAYLOADER MILO NIDO LISTA TRAFICO (PAYLODERS NIDO/MILO)</v>
          </cell>
        </row>
        <row r="1148">
          <cell r="R1148" t="str">
            <v>W24 HIPER LIDER -  DISTRIBUCION STOPPER GIRATORIO LISTA TRAFICO 2 (STOPPER GIRATORIO)</v>
          </cell>
        </row>
        <row r="1149">
          <cell r="R1149" t="str">
            <v>W24 LIDER EXPRESS -  DISTRIBUCION STOPPER GIRATORIO LISTA TRAFICO 2 (STOPPER GIRATORIO)</v>
          </cell>
        </row>
        <row r="1150">
          <cell r="R1150" t="str">
            <v>W25 UNIMARC -  DISTRIBUCION RINDE CARNE MAGGI (GANCHERA)</v>
          </cell>
        </row>
        <row r="1151">
          <cell r="R1151" t="str">
            <v>W25 UNIMARC -  CAMPAÑA CABECERA MILO (REVESTIMIENTO CABECERA)</v>
          </cell>
        </row>
        <row r="1152">
          <cell r="R1152" t="str">
            <v>W25 UNIMARC - BOTADERO MCKAY (BOTADERO CON MICA)</v>
          </cell>
        </row>
        <row r="1153">
          <cell r="R1153" t="str">
            <v>W25 UNIMARC - CAMPAÑA TUCO 200G (PAYLOADER MAGGI)</v>
          </cell>
        </row>
        <row r="1154">
          <cell r="R1154" t="str">
            <v>W25 MAYORISTA 10 - CAMPAÑA TUCO 200G (PAYLOADER MAGGI)</v>
          </cell>
        </row>
        <row r="1155">
          <cell r="R1155" t="str">
            <v>W25 MAYORISTA 10 - CAMPAÑA TUCO 200G (PAYLOADER GENERICO)</v>
          </cell>
        </row>
        <row r="1156">
          <cell r="R1156" t="str">
            <v>W24 HIPER LIDER - GOODNES CREMOSO (STOPPER)</v>
          </cell>
        </row>
        <row r="1157">
          <cell r="R1157" t="str">
            <v>W26 JUMBO - ISLA TRENCITO (ISLA)</v>
          </cell>
        </row>
        <row r="1158">
          <cell r="R1158" t="str">
            <v>W26 JUMBO -  NIDO 5+ (GANCHERA)</v>
          </cell>
        </row>
        <row r="1159">
          <cell r="R1159" t="str">
            <v>W26 SISA -  NIDO NUTRI ESENCIAL (GANCHERA)</v>
          </cell>
        </row>
        <row r="1160">
          <cell r="R1160" t="str">
            <v>W26 HIPER LIDER - PAYLOADER CALDOS MAGGI (PAYLOADER)</v>
          </cell>
        </row>
        <row r="1161">
          <cell r="R1161" t="str">
            <v>W27 JUMBO - GANCHERA SAHNE NUSS (GANCHERA)</v>
          </cell>
        </row>
        <row r="1162">
          <cell r="R1162" t="str">
            <v>W26 JUMBO - GANCHERA TRENCITO LATERAL (GANCHERA)</v>
          </cell>
        </row>
        <row r="1163">
          <cell r="R1163" t="str">
            <v>W27 SSRR - RECETAS NESTLÉ (REVESTIMIENTO ISLA SOPAS)</v>
          </cell>
        </row>
        <row r="1164">
          <cell r="R1164" t="str">
            <v>W27 SSRR - RECETAS NESTLÉ (REVESTIMIENTO ISLA CHEESECAKE)</v>
          </cell>
        </row>
        <row r="1165">
          <cell r="R1165" t="str">
            <v>W26 JUMBO - HOTSPOT TRENCITO (HOTSPOT)</v>
          </cell>
        </row>
        <row r="1166">
          <cell r="R1166" t="str">
            <v>W25 UNIMARC - BOTADERO MCKAY (BOTADERO)</v>
          </cell>
        </row>
        <row r="1167">
          <cell r="R1167" t="str">
            <v>W25 MAYORISTA 10 - BOTADERO MCKAY (BOTADERO)</v>
          </cell>
        </row>
        <row r="1168">
          <cell r="R1168" t="str">
            <v>W25 SUPER 10 - BOTADERO MCKAY (BOTADERO)</v>
          </cell>
        </row>
        <row r="1169">
          <cell r="R1169" t="str">
            <v>W28 UPA - GALLETAS NESTLÉ (PAYLOADER)</v>
          </cell>
        </row>
        <row r="1170">
          <cell r="R1170" t="str">
            <v>W28 UNIMARC - ISLA SAHNE NUSS (ISLA)</v>
          </cell>
        </row>
        <row r="1171">
          <cell r="R1171" t="str">
            <v>W28 UNIMARC - PAYLOADER SAHNE NUSS (PAYLOADER)</v>
          </cell>
        </row>
        <row r="1172">
          <cell r="R1172" t="str">
            <v>W28 ACUENTA - PAYLOADER TRITON INTENSA (PAYLOADER)</v>
          </cell>
        </row>
        <row r="1173">
          <cell r="R1173" t="str">
            <v>W30 HIPER LIDER - ISLA MCKAY (ISLA)</v>
          </cell>
        </row>
        <row r="1174">
          <cell r="R1174" t="str">
            <v>W30 HIPER LIDER - ISLA SAHNENUSS (ISLA)</v>
          </cell>
        </row>
        <row r="1175">
          <cell r="R1175" t="str">
            <v>W30 HIPER LIDER - PAYLOADEAR TRITON INTENSA (PAYLOADER)</v>
          </cell>
        </row>
        <row r="1176">
          <cell r="R1176" t="str">
            <v>W31 SISA - BOTADERO Y LATERAL SANTO GUSTITO (BOTADERO)</v>
          </cell>
        </row>
        <row r="1177">
          <cell r="R1177" t="str">
            <v>W31 SISA - BOTADERO Y LATERAL SANTO GUSTITO (PEDESTAL)</v>
          </cell>
        </row>
        <row r="1178">
          <cell r="R1178" t="str">
            <v>W31 SISA - PAYLOADER CALDOS MAGGI (PAYLOADER)</v>
          </cell>
        </row>
        <row r="1179">
          <cell r="R1179" t="str">
            <v>W31 JUMBO - ISLAS MILO (ISLA)</v>
          </cell>
        </row>
        <row r="1180">
          <cell r="R1180" t="str">
            <v>W31 SSRR - TRITON INTENSA (ISLA)</v>
          </cell>
        </row>
        <row r="1181">
          <cell r="R1181" t="str">
            <v>W31 SSRR - TRENCITO (PAYLOADER TRENCITO INVIERNO)</v>
          </cell>
        </row>
        <row r="1182">
          <cell r="R1182" t="str">
            <v>W31 SSRR - TRITON INTENSA (PAYLOADER CON REVESTIMIENTO)</v>
          </cell>
        </row>
        <row r="1183">
          <cell r="R1183" t="str">
            <v>W31 TOTTUS - TOTTUS TRENCITO (ISLA)</v>
          </cell>
        </row>
        <row r="1184">
          <cell r="R1184" t="str">
            <v>W31 TOTTUS - TOTTUS TRENCITO (ARCO)</v>
          </cell>
        </row>
        <row r="1185">
          <cell r="R1185" t="str">
            <v>W30 LIDER EXPRESS - PAYLOADEAR MCKAY MDD(PAYLOADER)</v>
          </cell>
        </row>
        <row r="1186">
          <cell r="R1186" t="str">
            <v>W31 JUMBO - ISLA SAHNE NUSS (ISLA)</v>
          </cell>
        </row>
        <row r="1187">
          <cell r="R1187" t="str">
            <v>W31 HIPER LIDER - TRITON Y KIT KAT (REVESTIMIENTO CHECK OUT)</v>
          </cell>
        </row>
        <row r="1188">
          <cell r="R1188" t="str">
            <v>W31 HIPER LIDER - TRITON Y KIT KAT (LATERAL HIPER TRITON INTENSA)</v>
          </cell>
        </row>
        <row r="1189">
          <cell r="R1189" t="str">
            <v>W31 LIDER EXPRESS - TRITON Y KIT KAT (LATERAL HIPER TRITON INTENSA)</v>
          </cell>
        </row>
        <row r="1190">
          <cell r="R1190" t="str">
            <v>W31 HIPER LIDER - TRITON Y KIT KAT (STOPPER TRITON INTENSA)</v>
          </cell>
        </row>
        <row r="1191">
          <cell r="R1191" t="str">
            <v>W31 HIPER LIDER - TRITON Y KIT KAT (MARCO GLORIFICADOR TRITON INTENSA)</v>
          </cell>
        </row>
        <row r="1192">
          <cell r="R1192" t="str">
            <v>W31 UNIMARC - ARCO SAHNENUSS (ARCO)</v>
          </cell>
        </row>
        <row r="1193">
          <cell r="R1193" t="str">
            <v>W31 JUMBO - HOTSPOT TRITON INTENSA (HOTSPOT)</v>
          </cell>
        </row>
        <row r="1194">
          <cell r="R1194" t="str">
            <v>W31 JUMBO - HOTSPOT TRITON INTENSA (MINI HOTSPOT)</v>
          </cell>
        </row>
        <row r="1195">
          <cell r="R1195" t="str">
            <v>W31 HIPER LIDER - PAYLODER BALLS (PAYLOADER GENERICO SIN GRAFICA)</v>
          </cell>
        </row>
        <row r="1196">
          <cell r="R1196" t="str">
            <v>W34 ACUENTA - PAYLODER MANJAR (PAYLOADER GENERICO SIN GRAFICA)</v>
          </cell>
        </row>
        <row r="1197">
          <cell r="R1197" t="str">
            <v>W34 UNIMARC - GANCHERA (GANCHERA CALDO)</v>
          </cell>
        </row>
        <row r="1198">
          <cell r="R1198" t="str">
            <v>W34 HIPER LIDER - GRÁFICAS MILO (GRAFICA PAYLOADER)</v>
          </cell>
        </row>
        <row r="1199">
          <cell r="R1199" t="str">
            <v>W35 JUMBO - PLAN PIÑA (LOMO NAVE XL)</v>
          </cell>
        </row>
        <row r="1200">
          <cell r="R1200" t="str">
            <v>W35 JUMBO - PLAN PIÑA (MARCO REFIGERADOR)</v>
          </cell>
        </row>
        <row r="1201">
          <cell r="R1201" t="str">
            <v>W35 SISA - PLAN PIÑA (LOMO NAVE XL)</v>
          </cell>
        </row>
        <row r="1202">
          <cell r="R1202" t="str">
            <v>W35 SISA - PLAN PIÑA (MARCO REFIGERADOR)</v>
          </cell>
        </row>
        <row r="1203">
          <cell r="R1203" t="str">
            <v>W35 UNIMARC - PLAN PIÑA (MARCO PRECIO)</v>
          </cell>
        </row>
        <row r="1204">
          <cell r="R1204" t="str">
            <v>W35 UNIMARC - PLAN PIÑA (CHUPON COOLER)</v>
          </cell>
        </row>
        <row r="1205">
          <cell r="R1205" t="str">
            <v>W35 UNIMARC - PLAN PIÑA (LOMO NAVE)</v>
          </cell>
        </row>
        <row r="1206">
          <cell r="R1206" t="str">
            <v>W35 SSRR - PLAN PIÑA (MARCO PRECIO STOPPER COOLER VIBRIN)</v>
          </cell>
        </row>
        <row r="1207">
          <cell r="R1207" t="str">
            <v>W35 SSRR - PLAN PIÑA (LOMO NAVE CABECERA XL)</v>
          </cell>
        </row>
        <row r="1208">
          <cell r="R1208" t="str">
            <v>W35 SSRR - PLAN PIÑA (MARCO PRECIO STOPPER COOLER VIBRIN)</v>
          </cell>
        </row>
        <row r="1209">
          <cell r="R1209" t="str">
            <v>W35 SSRR - PLAN PIÑA (MARCO PRECIO STOPPER COOLER VIBRIN)</v>
          </cell>
        </row>
        <row r="1210">
          <cell r="R1210" t="str">
            <v>W35 SSRR - PLAN PIÑA (CENEFA MUEBLE FRIO)</v>
          </cell>
        </row>
        <row r="1211">
          <cell r="R1211" t="str">
            <v>W35 TOTTUS - PLAN PIÑA (STICKER MUEBLE FRIO)</v>
          </cell>
        </row>
        <row r="1212">
          <cell r="R1212" t="str">
            <v>W35 TOTTUS - PLAN PIÑA (CENEFA MUEBLE FRIO)</v>
          </cell>
        </row>
        <row r="1213">
          <cell r="R1213" t="str">
            <v>CAMPAÑA RETIRO - SAHNE NUSS HIPER LIDER DETALLE (ISLA) AGOSTO 2025</v>
          </cell>
        </row>
        <row r="1214">
          <cell r="R1214" t="str">
            <v>CAMPAÑA RETIRO - MCKAY HIPER LIDER DETALLE (ISLA) AGOSTO 2025</v>
          </cell>
        </row>
        <row r="1215">
          <cell r="R1215" t="str">
            <v>CAMPAÑA RETIRO - TRENCITO TOTTUS (ISLA) SEPTIEMBRE 2025</v>
          </cell>
        </row>
        <row r="1216">
          <cell r="R1216" t="str">
            <v>W37 TOTTUS - CAMPAÑA PAYLOADER CULINARIOS (PAYLOADER)</v>
          </cell>
        </row>
        <row r="1217">
          <cell r="R1217" t="str">
            <v>W36 SSRR - CAMPAÑA ISLAS MANJAR (ISLA)</v>
          </cell>
        </row>
        <row r="1218">
          <cell r="R1218" t="str">
            <v>W36 SSRR - CAMPAÑA ISLAS MANJAR (GRAFICA ISLA)</v>
          </cell>
        </row>
        <row r="1219">
          <cell r="R1219" t="str">
            <v>W40 JUMBO - CAMPAÑAS GOODNES (VIBRIN COLGANTE)</v>
          </cell>
        </row>
        <row r="1220">
          <cell r="R1220" t="str">
            <v>W40 SISA - CAMPAÑAS GOODNES (VIBRIN COLGANTE)</v>
          </cell>
        </row>
        <row r="1221">
          <cell r="R1221" t="str">
            <v>W40 SSRR - PROMOCION SAHNE NUSS 4,5KG  (FICTICIO)</v>
          </cell>
        </row>
        <row r="1222">
          <cell r="R1222" t="str">
            <v>W40 SSRR - PROMOCION SAHNE NUSS 4,5KG  (CUPONES)</v>
          </cell>
        </row>
        <row r="1223">
          <cell r="R1223" t="str">
            <v>W40 SSRR - PROMOCION SAHNE NUSS 4,5KG  (AFICHE PVC)</v>
          </cell>
        </row>
        <row r="1224">
          <cell r="R1224" t="str">
            <v>W40 ALVI - PEDESTALES HALLOWEEN (PEDESTAL)</v>
          </cell>
        </row>
        <row r="1225">
          <cell r="R1225" t="str">
            <v>W40 UNIMARC - PEDESTALES HALLOWEEN (PEDESTAL)</v>
          </cell>
        </row>
        <row r="1226">
          <cell r="R1226" t="str">
            <v>W41 JUMBO - BOTADERO HALLOWEEN (BOTADERO)</v>
          </cell>
        </row>
        <row r="1227">
          <cell r="R1227" t="str">
            <v>W41 SISA - BOTADERO HALLOWEEN (BOTADERO)</v>
          </cell>
        </row>
        <row r="1228">
          <cell r="R1228" t="str">
            <v>W41 ACUENTA -  NATURNES NESTUM (PAYLOADER CON GRAFICA)</v>
          </cell>
        </row>
        <row r="1229">
          <cell r="R1229" t="str">
            <v>W41 HIPER LIDER -  NATURNES NESTUM (PAYLOADER SIN GRAFICA QR)</v>
          </cell>
        </row>
        <row r="1230">
          <cell r="R1230" t="str">
            <v>W41 LIDER EXPRESS -  NATURNES NESTUM (PAYLOADER SIN GRAFICA QR)</v>
          </cell>
        </row>
        <row r="1231">
          <cell r="R1231" t="str">
            <v>W41 HIPER LIDER - PAYLOADER TUCCO (PAYLOADER)</v>
          </cell>
        </row>
        <row r="1232">
          <cell r="R1232" t="str">
            <v>CAMPAÑA RETIRO - SAHNE NUSS JUMBO (ISLA)</v>
          </cell>
        </row>
        <row r="1233">
          <cell r="R1233" t="str">
            <v>W47 HIPER LIDER - HOTSPOT ALTEZA (HOTSPOT)</v>
          </cell>
        </row>
        <row r="1234">
          <cell r="R1234" t="str">
            <v>W41 HIPER LIDER - PAYLOADER SAHNE NUSS  KIT KAT(PAYLOADER DUO)</v>
          </cell>
        </row>
        <row r="1235">
          <cell r="R1235" t="str">
            <v>W41 HIPER LIDER - ISLA SAHNE NUSS (ISLA)</v>
          </cell>
        </row>
        <row r="1236">
          <cell r="R1236" t="str">
            <v>W43 HIPER LIDER - PAYLOADER SAHNE NUSS (PAYLOADER SN AB)</v>
          </cell>
        </row>
        <row r="1237">
          <cell r="R1237" t="str">
            <v>W43 LIDER EXPRESS - PAYLOADER SAHNE NUSS (PAYLOADER SN AB)</v>
          </cell>
        </row>
        <row r="1238">
          <cell r="R1238" t="str">
            <v>W44 JUMBO - GANCHERAS MAGGI (GANCHERA)</v>
          </cell>
        </row>
        <row r="1239">
          <cell r="R1239" t="str">
            <v>W44 JUMBO - CAMPAÑA COORPORATIVA NESTLE (VIBRIN STOPPER )</v>
          </cell>
        </row>
        <row r="1240">
          <cell r="R1240" t="str">
            <v>W44 JUMBO - CAMPAÑA COORPORATIVA NESTLE (VIBRIN STOPPER )</v>
          </cell>
        </row>
        <row r="1241">
          <cell r="R1241" t="str">
            <v>W44 JUMBO - CAMPAÑA COORPORATIVA NESTLE (LATERAL COLGANTE)</v>
          </cell>
        </row>
        <row r="1242">
          <cell r="R1242" t="str">
            <v>W44 JUMBO - CAMPAÑA COORPORATIVA NESTLE (LATERAL CABECERA)</v>
          </cell>
        </row>
        <row r="1243">
          <cell r="R1243" t="str">
            <v>W44 JUMBO - CAMPAÑA COORPORATIVA NESTLE ( ISLA CHOCOLATE)</v>
          </cell>
        </row>
        <row r="1244">
          <cell r="R1244" t="str">
            <v>W44 JUMBO - CAMPAÑA COORPORATIVA NESTLE ( ISLA GALLETA)</v>
          </cell>
        </row>
        <row r="1245">
          <cell r="R1245" t="str">
            <v>W44 JUMBO - CAMPAÑA COORPORATIVA NESTLE ( ESQUINERO)</v>
          </cell>
        </row>
        <row r="1246">
          <cell r="R1246" t="str">
            <v>W45 TOTTUS - PAYLOADERS NESCAFÉ (PAYLOADER)</v>
          </cell>
        </row>
        <row r="1247">
          <cell r="R1247" t="str">
            <v>W45 UNIMARC - GALLETAS NAVIDAD MCKAY (PAYLOADER)</v>
          </cell>
        </row>
        <row r="1248">
          <cell r="R1248" t="str">
            <v>W45 ALVI - GALLETAS NAVIDAD MCKAY (PAYLOADER)</v>
          </cell>
        </row>
        <row r="1249">
          <cell r="R1249" t="str">
            <v>W45 UNIMARC - GALLETAS TRENCITO (PAYLOADER)</v>
          </cell>
        </row>
        <row r="1250">
          <cell r="R1250" t="str">
            <v>W45 UNIMARC - GALLETAS TRENCITO (PAYLOADER ANTIBRECHA)</v>
          </cell>
        </row>
        <row r="1251">
          <cell r="R1251" t="str">
            <v>W47 UNIMARC - GALLETAS TRITON (PAYLOADER)</v>
          </cell>
        </row>
        <row r="1252">
          <cell r="R1252" t="str">
            <v>W46 HIPER LIDER - PINTAS SAVORY (LATERAL CABECERA)</v>
          </cell>
        </row>
        <row r="1253">
          <cell r="R1253" t="str">
            <v>W46 SPID - GOODNES (VIBRIN COLGANTE)</v>
          </cell>
        </row>
        <row r="1254">
          <cell r="R1254" t="str">
            <v>W47 HIPER LIDER - PAYLOADERS MINICABECERAS SVELTY (PAYLOADER)</v>
          </cell>
        </row>
        <row r="1255">
          <cell r="R1255" t="str">
            <v>W47 HIPER LIDER - PAYLOADERS MINICABECERAS SVELTY (QR)</v>
          </cell>
        </row>
        <row r="1256">
          <cell r="R1256" t="str">
            <v>W47 HIPER LIDER - CAPSULAS DOLCE GUSTO STARBUCKS (PAYLOADER)</v>
          </cell>
        </row>
        <row r="1257">
          <cell r="R1257" t="str">
            <v>W47 HIPER LIDER - CAPSULAS DOLCE GUSTO STARBUCKS (QR)</v>
          </cell>
        </row>
        <row r="1258">
          <cell r="R1258" t="str">
            <v>W45 SUPER 10 - GALLETAS NAVIDAD MCKAY (PAYLOADER)</v>
          </cell>
        </row>
        <row r="1259">
          <cell r="R1259" t="str">
            <v>W45 MAYORISTA 10 - GALLETAS NAVIDAD MCKAY (PAYLOADER)</v>
          </cell>
        </row>
        <row r="1260">
          <cell r="R1260" t="str">
            <v>W47 UNIMARC - CALDOS MAGGI (PAYLOADER ANTIBRECHA)</v>
          </cell>
        </row>
        <row r="1261">
          <cell r="R1261" t="str">
            <v>W47 HIPER LIDER - DULCE MOMENTOS SN (PAYLOADER)</v>
          </cell>
        </row>
        <row r="1262">
          <cell r="R1262" t="str">
            <v>W47 HIPER LIDER - DULCE MOMENTOS SN (QR)</v>
          </cell>
        </row>
        <row r="1263">
          <cell r="R1263" t="str">
            <v>W47 HIPER LIDER - MILO SIN LACTOSA (PAYLOADER)</v>
          </cell>
        </row>
        <row r="1264">
          <cell r="R1264" t="str">
            <v>W47 HIPER LIDER - MILO SIN LACTOSA (QR)</v>
          </cell>
        </row>
        <row r="1265">
          <cell r="R1265" t="str">
            <v>W48 JUMBO - TU VERANO SAVORY (MARCO REFRIGERADOR)</v>
          </cell>
        </row>
        <row r="1266">
          <cell r="R1266" t="str">
            <v>W48 JUMBO - TU VERANO SAVORY (VIBRIN CHUPÓN)</v>
          </cell>
        </row>
        <row r="1267">
          <cell r="R1267" t="str">
            <v>W48 JUMBO - TU VERANO SAVORY (LOMO NAVE)</v>
          </cell>
        </row>
        <row r="1268">
          <cell r="R1268" t="str">
            <v>W48 SISA - TU VERANO SAVORY (MARCO REFRIGERADOR)</v>
          </cell>
        </row>
        <row r="1269">
          <cell r="R1269" t="str">
            <v>W48 SISA - TU VERANO SAVORY (VIBRIN CHUPÓN)</v>
          </cell>
        </row>
        <row r="1270">
          <cell r="R1270" t="str">
            <v>W48 SISA - TU VERANO SAVORY (LOMO NAVE)</v>
          </cell>
        </row>
        <row r="1271">
          <cell r="R1271" t="str">
            <v>W48 TOTTUS - PIZARRAS SAVORY (PIZARRA)</v>
          </cell>
        </row>
        <row r="1272">
          <cell r="R1272" t="str">
            <v>W49 HIPER LIDER - STICKERS NIDO (STICKER)</v>
          </cell>
        </row>
        <row r="1273">
          <cell r="R1273" t="str">
            <v>W49 ACUENTA - STICKERS NIDO (STICKER)</v>
          </cell>
        </row>
        <row r="1274">
          <cell r="R1274" t="str">
            <v>W48 TOTTUS - PAYLOADER ANTIBRECHA MAGGI (PAYLOADER AB)</v>
          </cell>
        </row>
        <row r="1275">
          <cell r="R1275" t="str">
            <v>W47 HIPER LIDER - SAHNE NUSS NAVIDAD (PAYLOADER SN)</v>
          </cell>
        </row>
        <row r="1276">
          <cell r="R1276" t="str">
            <v>W47 HIPER LIDER - SAHNE NUSS NAVIDAD (MUEBLE ARBOL)</v>
          </cell>
        </row>
        <row r="1277">
          <cell r="R1277" t="str">
            <v>W47 LIDER EXPRESS - SAHNE NUSS NAVIDAD (PAYLOADER SN)</v>
          </cell>
        </row>
        <row r="1278">
          <cell r="R1278" t="str">
            <v>W50 HIPER LIDER - MILO (PAYLOADER)</v>
          </cell>
        </row>
        <row r="1279">
          <cell r="R1279" t="str">
            <v>W2 MAYORISTA 10 -  PAYLOADER TUCO (PAYLOADER AB)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E96D-4CFB-4E05-B33D-24F4D0D91426}">
  <sheetPr codeName="Hoja1" filterMode="1"/>
  <dimension ref="A1:K1528"/>
  <sheetViews>
    <sheetView tabSelected="1" workbookViewId="0">
      <pane ySplit="1" topLeftCell="A1518" activePane="bottomLeft" state="frozen"/>
      <selection pane="bottomLeft" activeCell="F1528" sqref="F1528"/>
    </sheetView>
  </sheetViews>
  <sheetFormatPr baseColWidth="10" defaultRowHeight="15"/>
  <cols>
    <col min="1" max="1" width="19.85546875" bestFit="1" customWidth="1"/>
    <col min="2" max="2" width="19.85546875" customWidth="1"/>
    <col min="3" max="3" width="17.28515625" customWidth="1"/>
    <col min="7" max="7" width="13.140625" bestFit="1" customWidth="1"/>
    <col min="8" max="8" width="129.85546875" bestFit="1" customWidth="1"/>
    <col min="9" max="9" width="47.7109375" bestFit="1" customWidth="1"/>
  </cols>
  <sheetData>
    <row r="1" spans="1:9" ht="48">
      <c r="A1" s="1" t="s">
        <v>0</v>
      </c>
      <c r="B1" s="1" t="s">
        <v>1156</v>
      </c>
      <c r="C1" s="1" t="s">
        <v>253</v>
      </c>
      <c r="D1" s="7" t="s">
        <v>14</v>
      </c>
      <c r="E1" s="7" t="s">
        <v>1159</v>
      </c>
      <c r="F1" s="7" t="s">
        <v>15</v>
      </c>
      <c r="G1" s="20" t="s">
        <v>16</v>
      </c>
      <c r="H1" s="1" t="s">
        <v>18</v>
      </c>
      <c r="I1" s="29" t="s">
        <v>1589</v>
      </c>
    </row>
    <row r="2" spans="1:9" hidden="1">
      <c r="A2" s="2" t="s">
        <v>1</v>
      </c>
      <c r="B2" s="2"/>
      <c r="C2" s="2"/>
      <c r="D2" s="8">
        <v>44965</v>
      </c>
      <c r="E2" s="8"/>
      <c r="F2" s="8">
        <v>45024</v>
      </c>
      <c r="G2" s="8">
        <v>45024</v>
      </c>
      <c r="H2" s="2" t="s">
        <v>19</v>
      </c>
    </row>
    <row r="3" spans="1:9" hidden="1">
      <c r="A3" s="2" t="s">
        <v>1</v>
      </c>
      <c r="B3" s="2"/>
      <c r="C3" s="2"/>
      <c r="D3" s="8">
        <v>44965</v>
      </c>
      <c r="E3" s="8"/>
      <c r="F3" s="8">
        <v>45024</v>
      </c>
      <c r="G3" s="8">
        <v>45024</v>
      </c>
      <c r="H3" s="2" t="s">
        <v>20</v>
      </c>
    </row>
    <row r="4" spans="1:9" hidden="1">
      <c r="A4" s="2" t="s">
        <v>1</v>
      </c>
      <c r="B4" s="2"/>
      <c r="C4" s="2" t="s">
        <v>254</v>
      </c>
      <c r="D4" s="8">
        <v>44942</v>
      </c>
      <c r="E4" s="8"/>
      <c r="F4" s="8">
        <v>45012</v>
      </c>
      <c r="G4" s="8">
        <v>45012</v>
      </c>
      <c r="H4" s="2" t="s">
        <v>21</v>
      </c>
    </row>
    <row r="5" spans="1:9" hidden="1">
      <c r="A5" s="2" t="s">
        <v>1</v>
      </c>
      <c r="B5" s="2"/>
      <c r="C5" s="2" t="s">
        <v>254</v>
      </c>
      <c r="D5" s="8">
        <v>44942</v>
      </c>
      <c r="E5" s="8"/>
      <c r="F5" s="8">
        <v>45012</v>
      </c>
      <c r="G5" s="8">
        <v>45012</v>
      </c>
      <c r="H5" s="2" t="s">
        <v>21</v>
      </c>
    </row>
    <row r="6" spans="1:9" hidden="1">
      <c r="A6" s="2" t="s">
        <v>1</v>
      </c>
      <c r="B6" s="2"/>
      <c r="C6" s="2" t="s">
        <v>254</v>
      </c>
      <c r="D6" s="8">
        <v>44942</v>
      </c>
      <c r="E6" s="8"/>
      <c r="F6" s="8">
        <v>45012</v>
      </c>
      <c r="G6" s="8">
        <v>45012</v>
      </c>
      <c r="H6" s="2" t="s">
        <v>21</v>
      </c>
    </row>
    <row r="7" spans="1:9" hidden="1">
      <c r="A7" s="2" t="s">
        <v>1</v>
      </c>
      <c r="B7" s="2"/>
      <c r="C7" s="2" t="s">
        <v>254</v>
      </c>
      <c r="D7" s="8">
        <v>44942</v>
      </c>
      <c r="E7" s="8"/>
      <c r="F7" s="8">
        <v>45012</v>
      </c>
      <c r="G7" s="8">
        <v>45012</v>
      </c>
      <c r="H7" s="2" t="s">
        <v>22</v>
      </c>
    </row>
    <row r="8" spans="1:9" hidden="1">
      <c r="A8" s="2" t="s">
        <v>1</v>
      </c>
      <c r="B8" s="2"/>
      <c r="C8" s="2" t="s">
        <v>254</v>
      </c>
      <c r="D8" s="8">
        <v>44942</v>
      </c>
      <c r="E8" s="8"/>
      <c r="F8" s="8">
        <v>45012</v>
      </c>
      <c r="G8" s="8">
        <v>45012</v>
      </c>
      <c r="H8" s="2" t="s">
        <v>22</v>
      </c>
    </row>
    <row r="9" spans="1:9" hidden="1">
      <c r="A9" s="2" t="s">
        <v>1</v>
      </c>
      <c r="B9" s="2"/>
      <c r="C9" s="2" t="s">
        <v>254</v>
      </c>
      <c r="D9" s="8">
        <v>44942</v>
      </c>
      <c r="E9" s="8"/>
      <c r="F9" s="8">
        <v>45012</v>
      </c>
      <c r="G9" s="8">
        <v>45012</v>
      </c>
      <c r="H9" s="2" t="s">
        <v>22</v>
      </c>
    </row>
    <row r="10" spans="1:9" hidden="1">
      <c r="A10" s="2" t="s">
        <v>1</v>
      </c>
      <c r="B10" s="2"/>
      <c r="C10" s="2" t="s">
        <v>254</v>
      </c>
      <c r="D10" s="8">
        <v>44942</v>
      </c>
      <c r="E10" s="8"/>
      <c r="F10" s="8">
        <v>45012</v>
      </c>
      <c r="G10" s="8">
        <v>45012</v>
      </c>
      <c r="H10" s="2" t="s">
        <v>23</v>
      </c>
    </row>
    <row r="11" spans="1:9" hidden="1">
      <c r="A11" s="2" t="s">
        <v>1</v>
      </c>
      <c r="B11" s="2"/>
      <c r="C11" s="2" t="s">
        <v>254</v>
      </c>
      <c r="D11" s="8">
        <v>44942</v>
      </c>
      <c r="E11" s="8"/>
      <c r="F11" s="8">
        <v>45012</v>
      </c>
      <c r="G11" s="8">
        <v>45012</v>
      </c>
      <c r="H11" s="2" t="s">
        <v>23</v>
      </c>
    </row>
    <row r="12" spans="1:9" hidden="1">
      <c r="A12" s="2" t="s">
        <v>1</v>
      </c>
      <c r="B12" s="2"/>
      <c r="C12" s="2" t="s">
        <v>254</v>
      </c>
      <c r="D12" s="8">
        <v>44942</v>
      </c>
      <c r="E12" s="8"/>
      <c r="F12" s="8">
        <v>45012</v>
      </c>
      <c r="G12" s="8">
        <v>45012</v>
      </c>
      <c r="H12" s="2" t="s">
        <v>23</v>
      </c>
    </row>
    <row r="13" spans="1:9" hidden="1">
      <c r="A13" s="2" t="s">
        <v>2</v>
      </c>
      <c r="B13" s="2"/>
      <c r="C13" s="2" t="s">
        <v>255</v>
      </c>
      <c r="D13" s="8">
        <v>44958</v>
      </c>
      <c r="E13" s="8"/>
      <c r="F13" s="8">
        <v>45025</v>
      </c>
      <c r="G13" s="8">
        <v>45025</v>
      </c>
      <c r="H13" s="2" t="s">
        <v>24</v>
      </c>
    </row>
    <row r="14" spans="1:9" hidden="1">
      <c r="A14" s="2" t="s">
        <v>2</v>
      </c>
      <c r="B14" s="2"/>
      <c r="C14" s="2" t="s">
        <v>255</v>
      </c>
      <c r="D14" s="8">
        <v>44963</v>
      </c>
      <c r="E14" s="8"/>
      <c r="F14" s="8">
        <v>45025</v>
      </c>
      <c r="G14" s="8">
        <v>45025</v>
      </c>
      <c r="H14" s="2" t="s">
        <v>25</v>
      </c>
    </row>
    <row r="15" spans="1:9" hidden="1">
      <c r="A15" s="2" t="s">
        <v>1</v>
      </c>
      <c r="B15" s="2"/>
      <c r="C15" s="2" t="s">
        <v>256</v>
      </c>
      <c r="D15" s="8">
        <v>44972</v>
      </c>
      <c r="E15" s="8"/>
      <c r="F15" s="8">
        <v>45008</v>
      </c>
      <c r="G15" s="8">
        <v>45008</v>
      </c>
      <c r="H15" s="2" t="s">
        <v>26</v>
      </c>
    </row>
    <row r="16" spans="1:9" hidden="1">
      <c r="A16" s="2" t="s">
        <v>1</v>
      </c>
      <c r="B16" s="2"/>
      <c r="C16" s="2" t="s">
        <v>256</v>
      </c>
      <c r="D16" s="8">
        <v>44972</v>
      </c>
      <c r="E16" s="8"/>
      <c r="F16" s="8">
        <v>45008</v>
      </c>
      <c r="G16" s="8">
        <v>45008</v>
      </c>
      <c r="H16" s="2" t="s">
        <v>27</v>
      </c>
    </row>
    <row r="17" spans="1:8" hidden="1">
      <c r="A17" s="2" t="s">
        <v>1</v>
      </c>
      <c r="B17" s="2"/>
      <c r="C17" s="2" t="s">
        <v>256</v>
      </c>
      <c r="D17" s="8">
        <v>44978</v>
      </c>
      <c r="E17" s="8"/>
      <c r="F17" s="8">
        <v>45012</v>
      </c>
      <c r="G17" s="8">
        <v>45012</v>
      </c>
      <c r="H17" s="2" t="s">
        <v>28</v>
      </c>
    </row>
    <row r="18" spans="1:8" hidden="1">
      <c r="A18" s="2" t="s">
        <v>3</v>
      </c>
      <c r="B18" s="2"/>
      <c r="C18" s="2"/>
      <c r="D18" s="8">
        <v>44972</v>
      </c>
      <c r="E18" s="8"/>
      <c r="F18" s="8">
        <v>45008</v>
      </c>
      <c r="G18" s="8">
        <v>45008</v>
      </c>
      <c r="H18" s="2" t="s">
        <v>29</v>
      </c>
    </row>
    <row r="19" spans="1:8" hidden="1">
      <c r="A19" s="2" t="s">
        <v>3</v>
      </c>
      <c r="B19" s="2"/>
      <c r="C19" s="2"/>
      <c r="D19" s="8">
        <v>44972</v>
      </c>
      <c r="E19" s="8"/>
      <c r="F19" s="8">
        <v>45008</v>
      </c>
      <c r="G19" s="8">
        <v>45008</v>
      </c>
      <c r="H19" s="2" t="s">
        <v>30</v>
      </c>
    </row>
    <row r="20" spans="1:8" hidden="1">
      <c r="A20" s="2" t="s">
        <v>3</v>
      </c>
      <c r="B20" s="2"/>
      <c r="C20" s="2"/>
      <c r="D20" s="8">
        <v>44972</v>
      </c>
      <c r="E20" s="8"/>
      <c r="F20" s="8">
        <v>45008</v>
      </c>
      <c r="G20" s="8">
        <v>45008</v>
      </c>
      <c r="H20" s="2" t="s">
        <v>31</v>
      </c>
    </row>
    <row r="21" spans="1:8" hidden="1">
      <c r="A21" s="2" t="s">
        <v>3</v>
      </c>
      <c r="B21" s="2"/>
      <c r="C21" s="2"/>
      <c r="D21" s="8">
        <v>44972</v>
      </c>
      <c r="E21" s="8"/>
      <c r="F21" s="8">
        <v>45008</v>
      </c>
      <c r="G21" s="8">
        <v>45008</v>
      </c>
      <c r="H21" s="2" t="s">
        <v>32</v>
      </c>
    </row>
    <row r="22" spans="1:8" hidden="1">
      <c r="A22" s="2" t="s">
        <v>3</v>
      </c>
      <c r="B22" s="2"/>
      <c r="C22" s="2"/>
      <c r="D22" s="8">
        <v>44978</v>
      </c>
      <c r="E22" s="8"/>
      <c r="F22" s="8">
        <v>45012</v>
      </c>
      <c r="G22" s="8">
        <v>45012</v>
      </c>
      <c r="H22" s="2" t="s">
        <v>33</v>
      </c>
    </row>
    <row r="23" spans="1:8" hidden="1">
      <c r="A23" s="2" t="s">
        <v>3</v>
      </c>
      <c r="B23" s="2"/>
      <c r="C23" s="2"/>
      <c r="D23" s="8">
        <v>44978</v>
      </c>
      <c r="E23" s="8"/>
      <c r="F23" s="8">
        <v>45012</v>
      </c>
      <c r="G23" s="8">
        <v>45012</v>
      </c>
      <c r="H23" s="2" t="s">
        <v>34</v>
      </c>
    </row>
    <row r="24" spans="1:8" hidden="1">
      <c r="A24" s="2" t="s">
        <v>3</v>
      </c>
      <c r="B24" s="2"/>
      <c r="C24" s="2"/>
      <c r="D24" s="8">
        <v>44972</v>
      </c>
      <c r="E24" s="8"/>
      <c r="F24" s="8">
        <v>45008</v>
      </c>
      <c r="G24" s="8">
        <v>45008</v>
      </c>
      <c r="H24" s="2" t="s">
        <v>35</v>
      </c>
    </row>
    <row r="25" spans="1:8" hidden="1">
      <c r="A25" s="2" t="s">
        <v>3</v>
      </c>
      <c r="B25" s="2"/>
      <c r="C25" s="2"/>
      <c r="D25" s="8">
        <v>44972</v>
      </c>
      <c r="E25" s="8"/>
      <c r="F25" s="8">
        <v>45008</v>
      </c>
      <c r="G25" s="8">
        <v>45008</v>
      </c>
      <c r="H25" s="2" t="s">
        <v>36</v>
      </c>
    </row>
    <row r="26" spans="1:8" hidden="1">
      <c r="A26" s="2" t="s">
        <v>3</v>
      </c>
      <c r="B26" s="2"/>
      <c r="C26" s="2"/>
      <c r="D26" s="8">
        <v>44972</v>
      </c>
      <c r="E26" s="8"/>
      <c r="F26" s="8">
        <v>45008</v>
      </c>
      <c r="G26" s="8">
        <v>45008</v>
      </c>
      <c r="H26" s="2" t="s">
        <v>37</v>
      </c>
    </row>
    <row r="27" spans="1:8" hidden="1">
      <c r="A27" s="2" t="s">
        <v>3</v>
      </c>
      <c r="B27" s="2"/>
      <c r="C27" s="2"/>
      <c r="D27" s="8">
        <v>44972</v>
      </c>
      <c r="E27" s="8"/>
      <c r="F27" s="8">
        <v>45008</v>
      </c>
      <c r="G27" s="8">
        <v>45008</v>
      </c>
      <c r="H27" s="2" t="s">
        <v>38</v>
      </c>
    </row>
    <row r="28" spans="1:8" hidden="1">
      <c r="A28" s="2" t="s">
        <v>3</v>
      </c>
      <c r="B28" s="2"/>
      <c r="C28" s="2"/>
      <c r="D28" s="8">
        <v>44972</v>
      </c>
      <c r="E28" s="8"/>
      <c r="F28" s="8">
        <v>45008</v>
      </c>
      <c r="G28" s="8">
        <v>45008</v>
      </c>
      <c r="H28" s="2" t="s">
        <v>39</v>
      </c>
    </row>
    <row r="29" spans="1:8" hidden="1">
      <c r="A29" s="2" t="s">
        <v>2</v>
      </c>
      <c r="B29" s="2"/>
      <c r="C29" s="2" t="s">
        <v>255</v>
      </c>
      <c r="D29" s="8">
        <v>44972</v>
      </c>
      <c r="E29" s="8"/>
      <c r="F29" s="8">
        <v>45025</v>
      </c>
      <c r="G29" s="8">
        <v>45025</v>
      </c>
      <c r="H29" s="2" t="s">
        <v>40</v>
      </c>
    </row>
    <row r="30" spans="1:8" hidden="1">
      <c r="A30" s="2" t="s">
        <v>2</v>
      </c>
      <c r="B30" s="2"/>
      <c r="C30" s="2" t="s">
        <v>255</v>
      </c>
      <c r="D30" s="8">
        <v>44972</v>
      </c>
      <c r="E30" s="8"/>
      <c r="F30" s="8">
        <v>45025</v>
      </c>
      <c r="G30" s="8">
        <v>45025</v>
      </c>
      <c r="H30" s="2" t="s">
        <v>41</v>
      </c>
    </row>
    <row r="31" spans="1:8" hidden="1">
      <c r="A31" s="2" t="s">
        <v>2</v>
      </c>
      <c r="B31" s="2"/>
      <c r="C31" s="2" t="s">
        <v>255</v>
      </c>
      <c r="D31" s="8">
        <v>44972</v>
      </c>
      <c r="E31" s="8"/>
      <c r="F31" s="8">
        <v>45025</v>
      </c>
      <c r="G31" s="8">
        <v>45025</v>
      </c>
      <c r="H31" s="2" t="s">
        <v>42</v>
      </c>
    </row>
    <row r="32" spans="1:8" hidden="1">
      <c r="A32" s="2" t="s">
        <v>2</v>
      </c>
      <c r="B32" s="2"/>
      <c r="C32" s="2" t="s">
        <v>255</v>
      </c>
      <c r="D32" s="8">
        <v>44984</v>
      </c>
      <c r="E32" s="8"/>
      <c r="F32" s="8">
        <v>45025</v>
      </c>
      <c r="G32" s="8">
        <v>45025</v>
      </c>
      <c r="H32" s="2" t="s">
        <v>43</v>
      </c>
    </row>
    <row r="33" spans="1:8" hidden="1">
      <c r="A33" s="2" t="s">
        <v>2</v>
      </c>
      <c r="B33" s="2"/>
      <c r="C33" s="2" t="s">
        <v>255</v>
      </c>
      <c r="D33" s="8">
        <v>44984</v>
      </c>
      <c r="E33" s="8"/>
      <c r="F33" s="8">
        <v>45025</v>
      </c>
      <c r="G33" s="8">
        <v>45025</v>
      </c>
      <c r="H33" s="2" t="s">
        <v>44</v>
      </c>
    </row>
    <row r="34" spans="1:8" hidden="1">
      <c r="A34" s="2" t="s">
        <v>2</v>
      </c>
      <c r="B34" s="2"/>
      <c r="C34" s="2" t="s">
        <v>255</v>
      </c>
      <c r="D34" s="8">
        <v>44984</v>
      </c>
      <c r="E34" s="8"/>
      <c r="F34" s="8">
        <v>45025</v>
      </c>
      <c r="G34" s="8">
        <v>45025</v>
      </c>
      <c r="H34" s="2" t="s">
        <v>45</v>
      </c>
    </row>
    <row r="35" spans="1:8" hidden="1">
      <c r="A35" s="2" t="s">
        <v>2</v>
      </c>
      <c r="B35" s="2"/>
      <c r="C35" s="2" t="s">
        <v>255</v>
      </c>
      <c r="D35" s="8">
        <v>44999</v>
      </c>
      <c r="E35" s="8"/>
      <c r="F35" s="8">
        <v>45025</v>
      </c>
      <c r="G35" s="8">
        <v>45025</v>
      </c>
      <c r="H35" s="2" t="s">
        <v>46</v>
      </c>
    </row>
    <row r="36" spans="1:8" hidden="1">
      <c r="A36" s="2" t="s">
        <v>4</v>
      </c>
      <c r="B36" s="2"/>
      <c r="C36" s="2"/>
      <c r="D36" s="8">
        <v>45007</v>
      </c>
      <c r="E36" s="8"/>
      <c r="F36" s="8">
        <v>45040</v>
      </c>
      <c r="G36" s="8">
        <v>45020</v>
      </c>
      <c r="H36" s="2" t="s">
        <v>47</v>
      </c>
    </row>
    <row r="37" spans="1:8" hidden="1">
      <c r="A37" s="2" t="s">
        <v>1</v>
      </c>
      <c r="B37" s="2"/>
      <c r="C37" s="2"/>
      <c r="D37" s="8">
        <v>45019</v>
      </c>
      <c r="E37" s="8"/>
      <c r="F37" s="8">
        <v>45080</v>
      </c>
      <c r="G37" s="8">
        <v>45030</v>
      </c>
      <c r="H37" s="2" t="s">
        <v>48</v>
      </c>
    </row>
    <row r="38" spans="1:8" hidden="1">
      <c r="A38" s="2" t="s">
        <v>2</v>
      </c>
      <c r="B38" s="2"/>
      <c r="C38" s="2" t="s">
        <v>255</v>
      </c>
      <c r="D38" s="8">
        <v>44999</v>
      </c>
      <c r="E38" s="8"/>
      <c r="F38" s="8">
        <v>45025</v>
      </c>
      <c r="G38" s="8">
        <v>45012</v>
      </c>
      <c r="H38" s="2" t="s">
        <v>49</v>
      </c>
    </row>
    <row r="39" spans="1:8" hidden="1">
      <c r="A39" s="2" t="s">
        <v>1</v>
      </c>
      <c r="B39" s="2"/>
      <c r="C39" s="2" t="s">
        <v>257</v>
      </c>
      <c r="D39" s="8">
        <v>45017</v>
      </c>
      <c r="E39" s="8"/>
      <c r="F39" s="8">
        <v>45046</v>
      </c>
      <c r="G39" s="8">
        <v>45030</v>
      </c>
      <c r="H39" s="2" t="s">
        <v>50</v>
      </c>
    </row>
    <row r="40" spans="1:8" hidden="1">
      <c r="A40" s="2" t="s">
        <v>1</v>
      </c>
      <c r="B40" s="2"/>
      <c r="C40" s="2" t="s">
        <v>257</v>
      </c>
      <c r="D40" s="8">
        <v>45017</v>
      </c>
      <c r="E40" s="8"/>
      <c r="F40" s="8">
        <v>45046</v>
      </c>
      <c r="G40" s="8">
        <v>45030</v>
      </c>
      <c r="H40" s="2" t="s">
        <v>51</v>
      </c>
    </row>
    <row r="41" spans="1:8" hidden="1">
      <c r="A41" s="2" t="s">
        <v>1</v>
      </c>
      <c r="B41" s="2"/>
      <c r="C41" s="2" t="s">
        <v>257</v>
      </c>
      <c r="D41" s="8">
        <v>45013</v>
      </c>
      <c r="E41" s="8"/>
      <c r="F41" s="8">
        <v>45040</v>
      </c>
      <c r="G41" s="8">
        <v>45026</v>
      </c>
      <c r="H41" s="2" t="s">
        <v>52</v>
      </c>
    </row>
    <row r="42" spans="1:8" hidden="1">
      <c r="A42" s="2" t="s">
        <v>3</v>
      </c>
      <c r="B42" s="2"/>
      <c r="C42" s="2"/>
      <c r="D42" s="8">
        <v>45007</v>
      </c>
      <c r="E42" s="8"/>
      <c r="F42" s="8">
        <v>45034</v>
      </c>
      <c r="G42" s="8">
        <v>45020</v>
      </c>
      <c r="H42" s="2" t="s">
        <v>53</v>
      </c>
    </row>
    <row r="43" spans="1:8" hidden="1">
      <c r="A43" s="2" t="s">
        <v>2</v>
      </c>
      <c r="B43" s="2"/>
      <c r="C43" s="2" t="s">
        <v>255</v>
      </c>
      <c r="D43" s="8">
        <v>44999</v>
      </c>
      <c r="E43" s="8"/>
      <c r="F43" s="8">
        <v>45025</v>
      </c>
      <c r="G43" s="8">
        <v>45023</v>
      </c>
      <c r="H43" s="2" t="s">
        <v>54</v>
      </c>
    </row>
    <row r="44" spans="1:8" hidden="1">
      <c r="A44" s="2" t="s">
        <v>1</v>
      </c>
      <c r="B44" s="2"/>
      <c r="C44" s="2" t="s">
        <v>258</v>
      </c>
      <c r="D44" s="8">
        <v>45019</v>
      </c>
      <c r="E44" s="8"/>
      <c r="F44" s="8"/>
      <c r="G44" s="8">
        <v>45030</v>
      </c>
      <c r="H44" s="2" t="s">
        <v>55</v>
      </c>
    </row>
    <row r="45" spans="1:8" hidden="1">
      <c r="A45" s="2" t="s">
        <v>1</v>
      </c>
      <c r="B45" s="2"/>
      <c r="C45" s="2" t="s">
        <v>258</v>
      </c>
      <c r="D45" s="8">
        <v>45019</v>
      </c>
      <c r="E45" s="8"/>
      <c r="F45" s="8"/>
      <c r="G45" s="8">
        <v>45030</v>
      </c>
      <c r="H45" s="2" t="s">
        <v>56</v>
      </c>
    </row>
    <row r="46" spans="1:8" hidden="1">
      <c r="A46" s="2" t="s">
        <v>1</v>
      </c>
      <c r="B46" s="2"/>
      <c r="C46" s="2" t="s">
        <v>258</v>
      </c>
      <c r="D46" s="8">
        <v>45035</v>
      </c>
      <c r="E46" s="8"/>
      <c r="F46" s="8">
        <v>45062</v>
      </c>
      <c r="G46" s="8">
        <v>45049</v>
      </c>
      <c r="H46" s="2" t="s">
        <v>57</v>
      </c>
    </row>
    <row r="47" spans="1:8" hidden="1">
      <c r="A47" s="2" t="s">
        <v>1</v>
      </c>
      <c r="B47" s="2"/>
      <c r="C47" s="2" t="s">
        <v>258</v>
      </c>
      <c r="D47" s="8">
        <v>45009</v>
      </c>
      <c r="E47" s="8"/>
      <c r="F47" s="8">
        <v>45035</v>
      </c>
      <c r="G47" s="8">
        <v>45029</v>
      </c>
      <c r="H47" s="2" t="s">
        <v>58</v>
      </c>
    </row>
    <row r="48" spans="1:8" hidden="1">
      <c r="A48" s="2" t="s">
        <v>1</v>
      </c>
      <c r="B48" s="2"/>
      <c r="C48" s="2" t="s">
        <v>258</v>
      </c>
      <c r="D48" s="8">
        <v>45013</v>
      </c>
      <c r="E48" s="8"/>
      <c r="F48" s="8">
        <v>45040</v>
      </c>
      <c r="G48" s="8">
        <v>45029</v>
      </c>
      <c r="H48" s="2" t="s">
        <v>59</v>
      </c>
    </row>
    <row r="49" spans="1:8" hidden="1">
      <c r="A49" s="2" t="s">
        <v>1</v>
      </c>
      <c r="B49" s="2"/>
      <c r="C49" s="2" t="s">
        <v>258</v>
      </c>
      <c r="D49" s="8">
        <v>45013</v>
      </c>
      <c r="E49" s="8"/>
      <c r="F49" s="8">
        <v>45040</v>
      </c>
      <c r="G49" s="8">
        <v>45029</v>
      </c>
      <c r="H49" s="2" t="s">
        <v>60</v>
      </c>
    </row>
    <row r="50" spans="1:8" hidden="1">
      <c r="A50" s="2" t="s">
        <v>3</v>
      </c>
      <c r="B50" s="2"/>
      <c r="C50" s="2" t="s">
        <v>259</v>
      </c>
      <c r="D50" s="8">
        <v>45004</v>
      </c>
      <c r="E50" s="8"/>
      <c r="F50" s="8">
        <v>45038</v>
      </c>
      <c r="G50" s="8">
        <v>45029</v>
      </c>
      <c r="H50" s="2" t="s">
        <v>61</v>
      </c>
    </row>
    <row r="51" spans="1:8" hidden="1">
      <c r="A51" s="2" t="s">
        <v>3</v>
      </c>
      <c r="B51" s="2"/>
      <c r="C51" s="2" t="s">
        <v>259</v>
      </c>
      <c r="D51" s="8">
        <v>45004</v>
      </c>
      <c r="E51" s="8"/>
      <c r="F51" s="8">
        <v>45038</v>
      </c>
      <c r="G51" s="8">
        <v>45029</v>
      </c>
      <c r="H51" s="2" t="s">
        <v>62</v>
      </c>
    </row>
    <row r="52" spans="1:8" hidden="1">
      <c r="A52" s="2" t="s">
        <v>3</v>
      </c>
      <c r="B52" s="2"/>
      <c r="C52" s="2" t="s">
        <v>260</v>
      </c>
      <c r="D52" s="8">
        <v>45021</v>
      </c>
      <c r="E52" s="8"/>
      <c r="F52" s="8">
        <v>45107</v>
      </c>
      <c r="G52" s="8">
        <v>45040</v>
      </c>
      <c r="H52" s="2" t="s">
        <v>63</v>
      </c>
    </row>
    <row r="53" spans="1:8" hidden="1">
      <c r="A53" s="2" t="s">
        <v>3</v>
      </c>
      <c r="B53" s="2"/>
      <c r="C53" s="2" t="s">
        <v>261</v>
      </c>
      <c r="D53" s="8">
        <v>45017</v>
      </c>
      <c r="E53" s="8"/>
      <c r="F53" s="8">
        <v>45077</v>
      </c>
      <c r="G53" s="8">
        <v>45040</v>
      </c>
      <c r="H53" s="2" t="s">
        <v>64</v>
      </c>
    </row>
    <row r="54" spans="1:8" hidden="1">
      <c r="A54" s="2" t="s">
        <v>3</v>
      </c>
      <c r="B54" s="2"/>
      <c r="C54" s="2" t="s">
        <v>261</v>
      </c>
      <c r="D54" s="8">
        <v>45036</v>
      </c>
      <c r="E54" s="8"/>
      <c r="F54" s="8">
        <v>45070</v>
      </c>
      <c r="G54" s="8">
        <v>45050</v>
      </c>
      <c r="H54" s="2" t="s">
        <v>65</v>
      </c>
    </row>
    <row r="55" spans="1:8" hidden="1">
      <c r="A55" s="2" t="s">
        <v>4</v>
      </c>
      <c r="B55" s="2"/>
      <c r="C55" s="2" t="s">
        <v>262</v>
      </c>
      <c r="D55" s="8">
        <v>45036</v>
      </c>
      <c r="E55" s="8"/>
      <c r="F55" s="8">
        <v>45070</v>
      </c>
      <c r="G55" s="8">
        <v>45050</v>
      </c>
      <c r="H55" s="2" t="s">
        <v>66</v>
      </c>
    </row>
    <row r="56" spans="1:8" hidden="1">
      <c r="A56" s="2" t="s">
        <v>3</v>
      </c>
      <c r="B56" s="2"/>
      <c r="C56" s="2" t="s">
        <v>263</v>
      </c>
      <c r="D56" s="8">
        <v>45036</v>
      </c>
      <c r="E56" s="8"/>
      <c r="F56" s="8">
        <v>45070</v>
      </c>
      <c r="G56" s="8">
        <v>45050</v>
      </c>
      <c r="H56" s="2" t="s">
        <v>67</v>
      </c>
    </row>
    <row r="57" spans="1:8" hidden="1">
      <c r="A57" s="2" t="s">
        <v>3</v>
      </c>
      <c r="B57" s="2"/>
      <c r="C57" s="2" t="s">
        <v>258</v>
      </c>
      <c r="D57" s="8">
        <v>45040</v>
      </c>
      <c r="E57" s="8"/>
      <c r="F57" s="8">
        <v>45047</v>
      </c>
      <c r="G57" s="8">
        <v>45047</v>
      </c>
      <c r="H57" s="2" t="s">
        <v>68</v>
      </c>
    </row>
    <row r="58" spans="1:8" hidden="1">
      <c r="A58" s="2" t="s">
        <v>3</v>
      </c>
      <c r="B58" s="2"/>
      <c r="C58" s="2" t="s">
        <v>258</v>
      </c>
      <c r="D58" s="8">
        <v>45036</v>
      </c>
      <c r="E58" s="8"/>
      <c r="F58" s="8">
        <v>45070</v>
      </c>
      <c r="G58" s="8">
        <v>45050</v>
      </c>
      <c r="H58" s="2" t="s">
        <v>69</v>
      </c>
    </row>
    <row r="59" spans="1:8" hidden="1">
      <c r="A59" s="2" t="s">
        <v>4</v>
      </c>
      <c r="B59" s="2"/>
      <c r="C59" s="2" t="s">
        <v>262</v>
      </c>
      <c r="D59" s="8">
        <v>45035</v>
      </c>
      <c r="E59" s="8"/>
      <c r="F59" s="8">
        <v>45062</v>
      </c>
      <c r="G59" s="8">
        <v>45050</v>
      </c>
      <c r="H59" s="2" t="s">
        <v>70</v>
      </c>
    </row>
    <row r="60" spans="1:8" hidden="1">
      <c r="A60" s="2" t="s">
        <v>3</v>
      </c>
      <c r="B60" s="2"/>
      <c r="C60" s="2" t="s">
        <v>264</v>
      </c>
      <c r="D60" s="8">
        <v>45036</v>
      </c>
      <c r="E60" s="8"/>
      <c r="F60" s="8">
        <v>45070</v>
      </c>
      <c r="G60" s="8">
        <v>45051</v>
      </c>
      <c r="H60" s="2" t="s">
        <v>71</v>
      </c>
    </row>
    <row r="61" spans="1:8" hidden="1">
      <c r="A61" s="2" t="s">
        <v>3</v>
      </c>
      <c r="B61" s="2"/>
      <c r="C61" s="2" t="s">
        <v>264</v>
      </c>
      <c r="D61" s="8">
        <v>45060</v>
      </c>
      <c r="E61" s="8"/>
      <c r="F61" s="8">
        <v>45090</v>
      </c>
      <c r="G61" s="8">
        <v>45072</v>
      </c>
      <c r="H61" s="2" t="s">
        <v>72</v>
      </c>
    </row>
    <row r="62" spans="1:8" hidden="1">
      <c r="A62" s="2" t="s">
        <v>3</v>
      </c>
      <c r="B62" s="2"/>
      <c r="C62" s="2" t="s">
        <v>264</v>
      </c>
      <c r="D62" s="8">
        <v>45041</v>
      </c>
      <c r="E62" s="8"/>
      <c r="F62" s="8">
        <v>45075</v>
      </c>
      <c r="G62" s="8">
        <v>45056</v>
      </c>
      <c r="H62" s="2" t="s">
        <v>73</v>
      </c>
    </row>
    <row r="63" spans="1:8" hidden="1">
      <c r="A63" s="2" t="s">
        <v>3</v>
      </c>
      <c r="B63" s="2"/>
      <c r="C63" s="2" t="s">
        <v>261</v>
      </c>
      <c r="D63" s="8">
        <v>45017</v>
      </c>
      <c r="E63" s="8"/>
      <c r="F63" s="8">
        <v>45077</v>
      </c>
      <c r="G63" s="8">
        <v>45031</v>
      </c>
      <c r="H63" s="2" t="s">
        <v>74</v>
      </c>
    </row>
    <row r="64" spans="1:8" hidden="1">
      <c r="A64" s="2" t="s">
        <v>3</v>
      </c>
      <c r="B64" s="2"/>
      <c r="C64" s="2" t="s">
        <v>75</v>
      </c>
      <c r="D64" s="8">
        <v>45040</v>
      </c>
      <c r="E64" s="8"/>
      <c r="F64" s="8">
        <v>45047</v>
      </c>
      <c r="G64" s="8">
        <v>45055</v>
      </c>
      <c r="H64" s="2" t="s">
        <v>75</v>
      </c>
    </row>
    <row r="65" spans="1:8" hidden="1">
      <c r="A65" s="2" t="s">
        <v>4</v>
      </c>
      <c r="B65" s="2"/>
      <c r="C65" s="2" t="s">
        <v>76</v>
      </c>
      <c r="D65" s="8">
        <v>45036</v>
      </c>
      <c r="E65" s="8"/>
      <c r="F65" s="8">
        <v>45070</v>
      </c>
      <c r="G65" s="8">
        <v>45051</v>
      </c>
      <c r="H65" s="2" t="s">
        <v>76</v>
      </c>
    </row>
    <row r="66" spans="1:8" hidden="1">
      <c r="A66" s="2" t="s">
        <v>4</v>
      </c>
      <c r="B66" s="2"/>
      <c r="C66" s="2" t="s">
        <v>265</v>
      </c>
      <c r="D66" s="8">
        <v>45036</v>
      </c>
      <c r="E66" s="8"/>
      <c r="F66" s="8">
        <v>45070</v>
      </c>
      <c r="G66" s="8">
        <v>45051</v>
      </c>
      <c r="H66" s="2" t="s">
        <v>77</v>
      </c>
    </row>
    <row r="67" spans="1:8" hidden="1">
      <c r="A67" s="2" t="s">
        <v>3</v>
      </c>
      <c r="B67" s="2"/>
      <c r="C67" s="2" t="s">
        <v>260</v>
      </c>
      <c r="D67" s="8">
        <v>45040</v>
      </c>
      <c r="E67" s="8"/>
      <c r="F67" s="8">
        <v>45075</v>
      </c>
      <c r="G67" s="8">
        <v>45055</v>
      </c>
      <c r="H67" s="2" t="s">
        <v>78</v>
      </c>
    </row>
    <row r="68" spans="1:8" hidden="1">
      <c r="A68" s="2" t="s">
        <v>3</v>
      </c>
      <c r="B68" s="2"/>
      <c r="C68" s="2" t="s">
        <v>79</v>
      </c>
      <c r="D68" s="8">
        <v>45041</v>
      </c>
      <c r="E68" s="8"/>
      <c r="F68" s="8">
        <v>45075</v>
      </c>
      <c r="G68" s="8">
        <v>45056</v>
      </c>
      <c r="H68" s="2" t="s">
        <v>79</v>
      </c>
    </row>
    <row r="69" spans="1:8" hidden="1">
      <c r="A69" s="2" t="s">
        <v>2</v>
      </c>
      <c r="B69" s="2"/>
      <c r="C69" s="2" t="s">
        <v>266</v>
      </c>
      <c r="D69" s="8">
        <v>45048</v>
      </c>
      <c r="E69" s="8"/>
      <c r="F69" s="8">
        <v>45107</v>
      </c>
      <c r="G69" s="8">
        <v>45063</v>
      </c>
      <c r="H69" s="2" t="s">
        <v>80</v>
      </c>
    </row>
    <row r="70" spans="1:8" hidden="1">
      <c r="A70" s="2" t="s">
        <v>3</v>
      </c>
      <c r="B70" s="2"/>
      <c r="C70" s="2" t="s">
        <v>260</v>
      </c>
      <c r="D70" s="8">
        <v>45041</v>
      </c>
      <c r="E70" s="8"/>
      <c r="F70" s="8">
        <v>45075</v>
      </c>
      <c r="G70" s="8">
        <v>45056</v>
      </c>
      <c r="H70" s="2" t="s">
        <v>81</v>
      </c>
    </row>
    <row r="71" spans="1:8" hidden="1">
      <c r="A71" s="2" t="s">
        <v>3</v>
      </c>
      <c r="B71" s="2"/>
      <c r="C71" s="2" t="s">
        <v>267</v>
      </c>
      <c r="D71" s="8">
        <v>45041</v>
      </c>
      <c r="E71" s="8"/>
      <c r="F71" s="8">
        <v>45081</v>
      </c>
      <c r="G71" s="8">
        <v>45056</v>
      </c>
      <c r="H71" s="2" t="s">
        <v>82</v>
      </c>
    </row>
    <row r="72" spans="1:8" hidden="1">
      <c r="A72" s="2" t="s">
        <v>3</v>
      </c>
      <c r="B72" s="2"/>
      <c r="C72" s="2" t="s">
        <v>267</v>
      </c>
      <c r="D72" s="8">
        <v>45041</v>
      </c>
      <c r="E72" s="8"/>
      <c r="F72" s="8">
        <v>45081</v>
      </c>
      <c r="G72" s="8">
        <v>45056</v>
      </c>
      <c r="H72" s="2" t="s">
        <v>83</v>
      </c>
    </row>
    <row r="73" spans="1:8" hidden="1">
      <c r="A73" s="2" t="s">
        <v>3</v>
      </c>
      <c r="B73" s="2"/>
      <c r="C73" s="2" t="s">
        <v>260</v>
      </c>
      <c r="D73" s="8">
        <v>45041</v>
      </c>
      <c r="E73" s="8"/>
      <c r="F73" s="8">
        <v>45075</v>
      </c>
      <c r="G73" s="8">
        <v>45056</v>
      </c>
      <c r="H73" s="2" t="s">
        <v>84</v>
      </c>
    </row>
    <row r="74" spans="1:8" hidden="1">
      <c r="A74" s="2" t="s">
        <v>4</v>
      </c>
      <c r="B74" s="2"/>
      <c r="C74" s="2" t="s">
        <v>268</v>
      </c>
      <c r="D74" s="8">
        <v>45076</v>
      </c>
      <c r="E74" s="8"/>
      <c r="F74" s="8">
        <v>45103</v>
      </c>
      <c r="G74" s="8">
        <v>45091</v>
      </c>
      <c r="H74" s="2" t="s">
        <v>85</v>
      </c>
    </row>
    <row r="75" spans="1:8" hidden="1">
      <c r="A75" s="2" t="s">
        <v>4</v>
      </c>
      <c r="B75" s="2"/>
      <c r="C75" s="2" t="s">
        <v>268</v>
      </c>
      <c r="D75" s="8">
        <v>45076</v>
      </c>
      <c r="E75" s="8"/>
      <c r="F75" s="8">
        <v>45103</v>
      </c>
      <c r="G75" s="8">
        <v>45091</v>
      </c>
      <c r="H75" s="2" t="s">
        <v>86</v>
      </c>
    </row>
    <row r="76" spans="1:8" hidden="1">
      <c r="A76" s="2" t="s">
        <v>4</v>
      </c>
      <c r="B76" s="2"/>
      <c r="C76" s="2" t="s">
        <v>268</v>
      </c>
      <c r="D76" s="8">
        <v>45076</v>
      </c>
      <c r="E76" s="8"/>
      <c r="F76" s="8">
        <v>45103</v>
      </c>
      <c r="G76" s="8">
        <v>45091</v>
      </c>
      <c r="H76" s="2" t="s">
        <v>86</v>
      </c>
    </row>
    <row r="77" spans="1:8" hidden="1">
      <c r="A77" s="2" t="s">
        <v>4</v>
      </c>
      <c r="B77" s="2"/>
      <c r="C77" s="2" t="s">
        <v>268</v>
      </c>
      <c r="D77" s="8">
        <v>45076</v>
      </c>
      <c r="E77" s="8"/>
      <c r="F77" s="8">
        <v>45103</v>
      </c>
      <c r="G77" s="8">
        <v>45091</v>
      </c>
      <c r="H77" s="2" t="s">
        <v>86</v>
      </c>
    </row>
    <row r="78" spans="1:8" hidden="1">
      <c r="A78" s="2" t="s">
        <v>4</v>
      </c>
      <c r="B78" s="2"/>
      <c r="C78" s="2" t="s">
        <v>268</v>
      </c>
      <c r="D78" s="8">
        <v>45068</v>
      </c>
      <c r="E78" s="8"/>
      <c r="F78" s="8">
        <v>45099</v>
      </c>
      <c r="G78" s="8">
        <v>45083</v>
      </c>
      <c r="H78" s="2" t="s">
        <v>87</v>
      </c>
    </row>
    <row r="79" spans="1:8" hidden="1">
      <c r="A79" s="2" t="s">
        <v>4</v>
      </c>
      <c r="B79" s="2"/>
      <c r="C79" s="2" t="s">
        <v>268</v>
      </c>
      <c r="D79" s="8">
        <v>45068</v>
      </c>
      <c r="E79" s="8"/>
      <c r="F79" s="8">
        <v>45099</v>
      </c>
      <c r="G79" s="8">
        <v>45083</v>
      </c>
      <c r="H79" s="2" t="s">
        <v>87</v>
      </c>
    </row>
    <row r="80" spans="1:8" hidden="1">
      <c r="A80" s="2" t="s">
        <v>4</v>
      </c>
      <c r="B80" s="2"/>
      <c r="C80" s="2" t="s">
        <v>268</v>
      </c>
      <c r="D80" s="8">
        <v>45068</v>
      </c>
      <c r="E80" s="8"/>
      <c r="F80" s="8">
        <v>45099</v>
      </c>
      <c r="G80" s="8">
        <v>45083</v>
      </c>
      <c r="H80" s="2" t="s">
        <v>87</v>
      </c>
    </row>
    <row r="81" spans="1:8" hidden="1">
      <c r="A81" s="2" t="s">
        <v>4</v>
      </c>
      <c r="B81" s="2"/>
      <c r="C81" s="2" t="s">
        <v>268</v>
      </c>
      <c r="D81" s="8">
        <v>45071</v>
      </c>
      <c r="E81" s="8"/>
      <c r="F81" s="8">
        <v>45098</v>
      </c>
      <c r="G81" s="8">
        <v>45083</v>
      </c>
      <c r="H81" s="2" t="s">
        <v>88</v>
      </c>
    </row>
    <row r="82" spans="1:8" hidden="1">
      <c r="A82" s="2" t="s">
        <v>4</v>
      </c>
      <c r="B82" s="2"/>
      <c r="C82" s="2" t="s">
        <v>268</v>
      </c>
      <c r="D82" s="8">
        <v>45071</v>
      </c>
      <c r="E82" s="8"/>
      <c r="F82" s="8">
        <v>45098</v>
      </c>
      <c r="G82" s="8">
        <v>45083</v>
      </c>
      <c r="H82" s="2" t="s">
        <v>88</v>
      </c>
    </row>
    <row r="83" spans="1:8" hidden="1">
      <c r="A83" s="2" t="s">
        <v>4</v>
      </c>
      <c r="B83" s="2"/>
      <c r="C83" s="2" t="s">
        <v>268</v>
      </c>
      <c r="D83" s="8">
        <v>45071</v>
      </c>
      <c r="E83" s="8"/>
      <c r="F83" s="8">
        <v>45098</v>
      </c>
      <c r="G83" s="8">
        <v>45083</v>
      </c>
      <c r="H83" s="2" t="s">
        <v>89</v>
      </c>
    </row>
    <row r="84" spans="1:8" hidden="1">
      <c r="A84" s="2" t="s">
        <v>4</v>
      </c>
      <c r="B84" s="2"/>
      <c r="C84" s="2" t="s">
        <v>268</v>
      </c>
      <c r="D84" s="8">
        <v>45071</v>
      </c>
      <c r="E84" s="8"/>
      <c r="F84" s="8">
        <v>45098</v>
      </c>
      <c r="G84" s="8">
        <v>45083</v>
      </c>
      <c r="H84" s="2" t="s">
        <v>89</v>
      </c>
    </row>
    <row r="85" spans="1:8" hidden="1">
      <c r="A85" s="2" t="s">
        <v>4</v>
      </c>
      <c r="B85" s="2"/>
      <c r="C85" s="2" t="s">
        <v>268</v>
      </c>
      <c r="D85" s="8">
        <v>45071</v>
      </c>
      <c r="E85" s="8"/>
      <c r="F85" s="8">
        <v>45098</v>
      </c>
      <c r="G85" s="8">
        <v>45083</v>
      </c>
      <c r="H85" s="2" t="s">
        <v>90</v>
      </c>
    </row>
    <row r="86" spans="1:8" hidden="1">
      <c r="A86" s="2" t="s">
        <v>4</v>
      </c>
      <c r="B86" s="2"/>
      <c r="C86" s="2" t="s">
        <v>268</v>
      </c>
      <c r="D86" s="8">
        <v>45071</v>
      </c>
      <c r="E86" s="8"/>
      <c r="F86" s="8">
        <v>45098</v>
      </c>
      <c r="G86" s="8">
        <v>45083</v>
      </c>
      <c r="H86" s="2" t="s">
        <v>90</v>
      </c>
    </row>
    <row r="87" spans="1:8" hidden="1">
      <c r="A87" s="2" t="s">
        <v>4</v>
      </c>
      <c r="B87" s="2"/>
      <c r="C87" s="2" t="s">
        <v>268</v>
      </c>
      <c r="D87" s="8">
        <v>45068</v>
      </c>
      <c r="E87" s="8"/>
      <c r="F87" s="8">
        <v>45099</v>
      </c>
      <c r="G87" s="8">
        <v>45083</v>
      </c>
      <c r="H87" s="2" t="s">
        <v>91</v>
      </c>
    </row>
    <row r="88" spans="1:8" hidden="1">
      <c r="A88" s="2" t="s">
        <v>4</v>
      </c>
      <c r="B88" s="2"/>
      <c r="C88" s="2" t="s">
        <v>268</v>
      </c>
      <c r="D88" s="8">
        <v>45076</v>
      </c>
      <c r="E88" s="8"/>
      <c r="F88" s="8">
        <v>45107</v>
      </c>
      <c r="G88" s="8">
        <v>45091</v>
      </c>
      <c r="H88" s="2" t="s">
        <v>92</v>
      </c>
    </row>
    <row r="89" spans="1:8" hidden="1">
      <c r="A89" s="2" t="s">
        <v>4</v>
      </c>
      <c r="B89" s="2"/>
      <c r="C89" s="2" t="s">
        <v>269</v>
      </c>
      <c r="D89" s="8">
        <v>45071</v>
      </c>
      <c r="E89" s="8"/>
      <c r="F89" s="8">
        <v>45098</v>
      </c>
      <c r="G89" s="8">
        <v>45086</v>
      </c>
      <c r="H89" s="2" t="s">
        <v>93</v>
      </c>
    </row>
    <row r="90" spans="1:8" hidden="1">
      <c r="A90" s="2" t="s">
        <v>4</v>
      </c>
      <c r="B90" s="2"/>
      <c r="C90" s="2" t="s">
        <v>269</v>
      </c>
      <c r="D90" s="8">
        <v>45075</v>
      </c>
      <c r="E90" s="8"/>
      <c r="F90" s="8">
        <v>45107</v>
      </c>
      <c r="G90" s="8">
        <v>45090</v>
      </c>
      <c r="H90" s="2" t="s">
        <v>94</v>
      </c>
    </row>
    <row r="91" spans="1:8" hidden="1">
      <c r="A91" s="2" t="s">
        <v>3</v>
      </c>
      <c r="B91" s="2"/>
      <c r="C91" s="2"/>
      <c r="D91" s="8">
        <v>45071</v>
      </c>
      <c r="E91" s="8"/>
      <c r="F91" s="8">
        <v>45098</v>
      </c>
      <c r="G91" s="8">
        <v>45086</v>
      </c>
      <c r="H91" s="2" t="s">
        <v>95</v>
      </c>
    </row>
    <row r="92" spans="1:8" hidden="1">
      <c r="A92" s="2" t="s">
        <v>4</v>
      </c>
      <c r="B92" s="2"/>
      <c r="C92" s="2"/>
      <c r="D92" s="8">
        <v>45071</v>
      </c>
      <c r="E92" s="8"/>
      <c r="F92" s="8">
        <v>45098</v>
      </c>
      <c r="G92" s="8">
        <v>45086</v>
      </c>
      <c r="H92" s="2" t="s">
        <v>96</v>
      </c>
    </row>
    <row r="93" spans="1:8" hidden="1">
      <c r="A93" s="2" t="s">
        <v>3</v>
      </c>
      <c r="B93" s="2"/>
      <c r="C93" s="2" t="s">
        <v>270</v>
      </c>
      <c r="D93" s="8">
        <v>45076</v>
      </c>
      <c r="E93" s="8"/>
      <c r="F93" s="8">
        <v>45103</v>
      </c>
      <c r="G93" s="8">
        <v>45091</v>
      </c>
      <c r="H93" s="2" t="s">
        <v>97</v>
      </c>
    </row>
    <row r="94" spans="1:8" hidden="1">
      <c r="A94" s="2" t="s">
        <v>3</v>
      </c>
      <c r="B94" s="2"/>
      <c r="C94" s="2" t="s">
        <v>270</v>
      </c>
      <c r="D94" s="8">
        <v>45076</v>
      </c>
      <c r="E94" s="8"/>
      <c r="F94" s="8">
        <v>45103</v>
      </c>
      <c r="G94" s="8">
        <v>45091</v>
      </c>
      <c r="H94" s="2" t="s">
        <v>98</v>
      </c>
    </row>
    <row r="95" spans="1:8" hidden="1">
      <c r="A95" s="2" t="s">
        <v>3</v>
      </c>
      <c r="B95" s="2"/>
      <c r="C95" s="2" t="s">
        <v>270</v>
      </c>
      <c r="D95" s="8">
        <v>45071</v>
      </c>
      <c r="E95" s="8"/>
      <c r="F95" s="8">
        <v>45098</v>
      </c>
      <c r="G95" s="8">
        <v>45086</v>
      </c>
      <c r="H95" s="2" t="s">
        <v>99</v>
      </c>
    </row>
    <row r="96" spans="1:8" hidden="1">
      <c r="A96" s="2" t="s">
        <v>3</v>
      </c>
      <c r="B96" s="2"/>
      <c r="C96" s="2" t="s">
        <v>270</v>
      </c>
      <c r="D96" s="8">
        <v>45071</v>
      </c>
      <c r="E96" s="8"/>
      <c r="F96" s="8">
        <v>45098</v>
      </c>
      <c r="G96" s="8">
        <v>45086</v>
      </c>
      <c r="H96" s="2" t="s">
        <v>100</v>
      </c>
    </row>
    <row r="97" spans="1:8" hidden="1">
      <c r="A97" s="2" t="s">
        <v>3</v>
      </c>
      <c r="B97" s="2"/>
      <c r="C97" s="2" t="s">
        <v>270</v>
      </c>
      <c r="D97" s="8">
        <v>45071</v>
      </c>
      <c r="E97" s="8"/>
      <c r="F97" s="8">
        <v>45098</v>
      </c>
      <c r="G97" s="8">
        <v>45086</v>
      </c>
      <c r="H97" s="2" t="s">
        <v>101</v>
      </c>
    </row>
    <row r="98" spans="1:8" hidden="1">
      <c r="A98" s="2" t="s">
        <v>3</v>
      </c>
      <c r="B98" s="2"/>
      <c r="C98" s="2" t="s">
        <v>270</v>
      </c>
      <c r="D98" s="8">
        <v>45071</v>
      </c>
      <c r="E98" s="8"/>
      <c r="F98" s="8">
        <v>45098</v>
      </c>
      <c r="G98" s="8">
        <v>45086</v>
      </c>
      <c r="H98" s="2" t="s">
        <v>102</v>
      </c>
    </row>
    <row r="99" spans="1:8" hidden="1">
      <c r="A99" s="2" t="s">
        <v>3</v>
      </c>
      <c r="B99" s="2"/>
      <c r="C99" s="2" t="s">
        <v>270</v>
      </c>
      <c r="D99" s="8">
        <v>45071</v>
      </c>
      <c r="E99" s="8"/>
      <c r="F99" s="8">
        <v>45098</v>
      </c>
      <c r="G99" s="8">
        <v>45086</v>
      </c>
      <c r="H99" s="2" t="s">
        <v>103</v>
      </c>
    </row>
    <row r="100" spans="1:8" hidden="1">
      <c r="A100" s="2" t="s">
        <v>3</v>
      </c>
      <c r="B100" s="2"/>
      <c r="C100" s="2" t="s">
        <v>270</v>
      </c>
      <c r="D100" s="8">
        <v>45071</v>
      </c>
      <c r="E100" s="8"/>
      <c r="F100" s="8">
        <v>45098</v>
      </c>
      <c r="G100" s="8">
        <v>45086</v>
      </c>
      <c r="H100" s="2" t="s">
        <v>104</v>
      </c>
    </row>
    <row r="101" spans="1:8" hidden="1">
      <c r="A101" s="2" t="s">
        <v>5</v>
      </c>
      <c r="B101" s="2"/>
      <c r="C101" s="2" t="s">
        <v>271</v>
      </c>
      <c r="D101" s="8">
        <v>45097</v>
      </c>
      <c r="E101" s="8"/>
      <c r="F101" s="8">
        <v>45126</v>
      </c>
      <c r="G101" s="8">
        <v>45112</v>
      </c>
      <c r="H101" s="2" t="s">
        <v>105</v>
      </c>
    </row>
    <row r="102" spans="1:8" hidden="1">
      <c r="A102" s="2" t="s">
        <v>5</v>
      </c>
      <c r="B102" s="2"/>
      <c r="C102" s="2" t="s">
        <v>271</v>
      </c>
      <c r="D102" s="8">
        <v>45097</v>
      </c>
      <c r="E102" s="8"/>
      <c r="F102" s="8">
        <v>45126</v>
      </c>
      <c r="G102" s="8">
        <v>45112</v>
      </c>
      <c r="H102" s="2" t="s">
        <v>106</v>
      </c>
    </row>
    <row r="103" spans="1:8" hidden="1">
      <c r="A103" s="2" t="s">
        <v>4</v>
      </c>
      <c r="B103" s="2"/>
      <c r="C103" s="2" t="s">
        <v>272</v>
      </c>
      <c r="D103" s="8">
        <v>45071</v>
      </c>
      <c r="E103" s="8"/>
      <c r="F103" s="8">
        <v>45098</v>
      </c>
      <c r="G103" s="8">
        <v>45086</v>
      </c>
      <c r="H103" s="2" t="s">
        <v>107</v>
      </c>
    </row>
    <row r="104" spans="1:8" hidden="1">
      <c r="A104" s="2" t="s">
        <v>4</v>
      </c>
      <c r="B104" s="2"/>
      <c r="C104" s="2" t="s">
        <v>273</v>
      </c>
      <c r="D104" s="8">
        <v>45089</v>
      </c>
      <c r="E104" s="8"/>
      <c r="F104" s="8">
        <v>45118</v>
      </c>
      <c r="G104" s="8">
        <v>45104</v>
      </c>
      <c r="H104" s="2" t="s">
        <v>108</v>
      </c>
    </row>
    <row r="105" spans="1:8" hidden="1">
      <c r="A105" s="2" t="s">
        <v>5</v>
      </c>
      <c r="B105" s="2"/>
      <c r="C105" s="2" t="s">
        <v>274</v>
      </c>
      <c r="D105" s="8">
        <v>45097</v>
      </c>
      <c r="E105" s="8"/>
      <c r="F105" s="8">
        <v>45127</v>
      </c>
      <c r="G105" s="8">
        <v>45112</v>
      </c>
      <c r="H105" s="2" t="s">
        <v>109</v>
      </c>
    </row>
    <row r="106" spans="1:8" hidden="1">
      <c r="A106" s="2" t="s">
        <v>5</v>
      </c>
      <c r="B106" s="2"/>
      <c r="C106" s="2" t="s">
        <v>275</v>
      </c>
      <c r="D106" s="8">
        <v>45086</v>
      </c>
      <c r="E106" s="8"/>
      <c r="F106" s="8">
        <v>45147</v>
      </c>
      <c r="G106" s="8">
        <v>45101</v>
      </c>
      <c r="H106" s="2" t="s">
        <v>110</v>
      </c>
    </row>
    <row r="107" spans="1:8" hidden="1">
      <c r="A107" s="2" t="s">
        <v>4</v>
      </c>
      <c r="B107" s="2"/>
      <c r="C107" s="2" t="s">
        <v>276</v>
      </c>
      <c r="D107" s="8">
        <v>45076</v>
      </c>
      <c r="E107" s="8"/>
      <c r="F107" s="8">
        <v>45107</v>
      </c>
      <c r="G107" s="8">
        <v>45091</v>
      </c>
      <c r="H107" s="2" t="s">
        <v>111</v>
      </c>
    </row>
    <row r="108" spans="1:8" hidden="1">
      <c r="A108" s="2" t="s">
        <v>5</v>
      </c>
      <c r="B108" s="2"/>
      <c r="C108" s="2" t="s">
        <v>277</v>
      </c>
      <c r="D108" s="8">
        <v>45097</v>
      </c>
      <c r="E108" s="8"/>
      <c r="F108" s="8">
        <v>45126</v>
      </c>
      <c r="G108" s="8">
        <v>45112</v>
      </c>
      <c r="H108" s="2" t="s">
        <v>112</v>
      </c>
    </row>
    <row r="109" spans="1:8" hidden="1">
      <c r="A109" s="2" t="s">
        <v>5</v>
      </c>
      <c r="B109" s="2"/>
      <c r="C109" s="2" t="s">
        <v>277</v>
      </c>
      <c r="D109" s="8">
        <v>45097</v>
      </c>
      <c r="E109" s="8"/>
      <c r="F109" s="8">
        <v>45126</v>
      </c>
      <c r="G109" s="8">
        <v>45112</v>
      </c>
      <c r="H109" s="2" t="s">
        <v>113</v>
      </c>
    </row>
    <row r="110" spans="1:8" hidden="1">
      <c r="A110" s="2" t="s">
        <v>5</v>
      </c>
      <c r="B110" s="2"/>
      <c r="C110" s="2" t="s">
        <v>277</v>
      </c>
      <c r="D110" s="8">
        <v>45104</v>
      </c>
      <c r="E110" s="8"/>
      <c r="F110" s="8">
        <v>45131</v>
      </c>
      <c r="G110" s="8">
        <v>45119</v>
      </c>
      <c r="H110" s="2" t="s">
        <v>114</v>
      </c>
    </row>
    <row r="111" spans="1:8" hidden="1">
      <c r="A111" s="2" t="s">
        <v>5</v>
      </c>
      <c r="B111" s="2"/>
      <c r="C111" s="2" t="s">
        <v>277</v>
      </c>
      <c r="D111" s="8">
        <v>45104</v>
      </c>
      <c r="E111" s="8"/>
      <c r="F111" s="8">
        <v>45131</v>
      </c>
      <c r="G111" s="8">
        <v>45119</v>
      </c>
      <c r="H111" s="2" t="s">
        <v>115</v>
      </c>
    </row>
    <row r="112" spans="1:8" hidden="1">
      <c r="A112" s="2" t="s">
        <v>3</v>
      </c>
      <c r="B112" s="2"/>
      <c r="C112" s="2" t="s">
        <v>278</v>
      </c>
      <c r="D112" s="8">
        <v>45097</v>
      </c>
      <c r="E112" s="8"/>
      <c r="F112" s="8">
        <v>45123</v>
      </c>
      <c r="G112" s="8">
        <v>45112</v>
      </c>
      <c r="H112" s="2" t="s">
        <v>116</v>
      </c>
    </row>
    <row r="113" spans="1:8" hidden="1">
      <c r="A113" s="2" t="s">
        <v>5</v>
      </c>
      <c r="B113" s="2"/>
      <c r="C113" s="2" t="s">
        <v>279</v>
      </c>
      <c r="D113" s="8">
        <v>45104</v>
      </c>
      <c r="E113" s="8"/>
      <c r="F113" s="8">
        <v>45165</v>
      </c>
      <c r="G113" s="8">
        <v>45119</v>
      </c>
      <c r="H113" s="2" t="s">
        <v>117</v>
      </c>
    </row>
    <row r="114" spans="1:8" hidden="1">
      <c r="A114" s="2" t="s">
        <v>5</v>
      </c>
      <c r="B114" s="2"/>
      <c r="C114" s="2" t="s">
        <v>280</v>
      </c>
      <c r="D114" s="8">
        <v>45097</v>
      </c>
      <c r="E114" s="8"/>
      <c r="F114" s="8">
        <v>45126</v>
      </c>
      <c r="G114" s="8">
        <v>45112</v>
      </c>
      <c r="H114" s="2" t="s">
        <v>118</v>
      </c>
    </row>
    <row r="115" spans="1:8" hidden="1">
      <c r="A115" s="2" t="s">
        <v>5</v>
      </c>
      <c r="B115" s="2"/>
      <c r="C115" s="2" t="s">
        <v>280</v>
      </c>
      <c r="D115" s="8">
        <v>45097</v>
      </c>
      <c r="E115" s="8"/>
      <c r="F115" s="8">
        <v>45126</v>
      </c>
      <c r="G115" s="8">
        <v>45112</v>
      </c>
      <c r="H115" s="2" t="s">
        <v>119</v>
      </c>
    </row>
    <row r="116" spans="1:8" hidden="1">
      <c r="A116" s="2" t="s">
        <v>5</v>
      </c>
      <c r="B116" s="2"/>
      <c r="C116" s="2" t="s">
        <v>280</v>
      </c>
      <c r="D116" s="8">
        <v>45117</v>
      </c>
      <c r="E116" s="8"/>
      <c r="F116" s="8">
        <v>45151</v>
      </c>
      <c r="G116" s="8">
        <v>45132</v>
      </c>
      <c r="H116" s="2" t="s">
        <v>120</v>
      </c>
    </row>
    <row r="117" spans="1:8" hidden="1">
      <c r="A117" s="2" t="s">
        <v>5</v>
      </c>
      <c r="B117" s="2"/>
      <c r="C117" s="2" t="s">
        <v>280</v>
      </c>
      <c r="D117" s="8">
        <v>45117</v>
      </c>
      <c r="E117" s="8"/>
      <c r="F117" s="8">
        <v>45151</v>
      </c>
      <c r="G117" s="8">
        <v>45132</v>
      </c>
      <c r="H117" s="2" t="s">
        <v>121</v>
      </c>
    </row>
    <row r="118" spans="1:8" hidden="1">
      <c r="A118" s="2" t="s">
        <v>4</v>
      </c>
      <c r="B118" s="2"/>
      <c r="C118" s="2" t="s">
        <v>265</v>
      </c>
      <c r="D118" s="8">
        <v>45098</v>
      </c>
      <c r="E118" s="8"/>
      <c r="F118" s="8">
        <v>45128</v>
      </c>
      <c r="G118" s="8">
        <v>45113</v>
      </c>
      <c r="H118" s="2" t="s">
        <v>122</v>
      </c>
    </row>
    <row r="119" spans="1:8" hidden="1">
      <c r="A119" s="2" t="s">
        <v>3</v>
      </c>
      <c r="B119" s="2"/>
      <c r="C119" s="2" t="s">
        <v>281</v>
      </c>
      <c r="D119" s="8">
        <v>45071</v>
      </c>
      <c r="E119" s="8"/>
      <c r="F119" s="8">
        <v>45098</v>
      </c>
      <c r="G119" s="8">
        <v>45086</v>
      </c>
      <c r="H119" s="2" t="s">
        <v>123</v>
      </c>
    </row>
    <row r="120" spans="1:8" hidden="1">
      <c r="A120" s="2" t="s">
        <v>3</v>
      </c>
      <c r="B120" s="2"/>
      <c r="C120" s="2" t="s">
        <v>281</v>
      </c>
      <c r="D120" s="8">
        <v>45071</v>
      </c>
      <c r="E120" s="8"/>
      <c r="F120" s="8">
        <v>45098</v>
      </c>
      <c r="G120" s="8">
        <v>45086</v>
      </c>
      <c r="H120" s="2" t="s">
        <v>124</v>
      </c>
    </row>
    <row r="121" spans="1:8" hidden="1">
      <c r="A121" s="2" t="s">
        <v>3</v>
      </c>
      <c r="B121" s="2"/>
      <c r="C121" s="2" t="s">
        <v>281</v>
      </c>
      <c r="D121" s="8">
        <v>45078</v>
      </c>
      <c r="E121" s="8"/>
      <c r="F121" s="8">
        <v>45138</v>
      </c>
      <c r="G121" s="8">
        <v>45093</v>
      </c>
      <c r="H121" s="2" t="s">
        <v>99</v>
      </c>
    </row>
    <row r="122" spans="1:8" hidden="1">
      <c r="A122" s="2" t="s">
        <v>4</v>
      </c>
      <c r="B122" s="2"/>
      <c r="C122" s="2" t="s">
        <v>268</v>
      </c>
      <c r="D122" s="8">
        <v>45097</v>
      </c>
      <c r="E122" s="8"/>
      <c r="F122" s="8">
        <v>45127</v>
      </c>
      <c r="G122" s="8">
        <v>45112</v>
      </c>
      <c r="H122" s="2" t="s">
        <v>125</v>
      </c>
    </row>
    <row r="123" spans="1:8" hidden="1">
      <c r="A123" s="2" t="s">
        <v>4</v>
      </c>
      <c r="B123" s="2"/>
      <c r="C123" s="2" t="s">
        <v>268</v>
      </c>
      <c r="D123" s="8">
        <v>45097</v>
      </c>
      <c r="E123" s="8"/>
      <c r="F123" s="8">
        <v>45127</v>
      </c>
      <c r="G123" s="8">
        <v>45112</v>
      </c>
      <c r="H123" s="2" t="s">
        <v>126</v>
      </c>
    </row>
    <row r="124" spans="1:8" hidden="1">
      <c r="A124" s="2" t="s">
        <v>4</v>
      </c>
      <c r="B124" s="2"/>
      <c r="C124" s="2" t="s">
        <v>268</v>
      </c>
      <c r="D124" s="8">
        <v>45097</v>
      </c>
      <c r="E124" s="8"/>
      <c r="F124" s="8">
        <v>45127</v>
      </c>
      <c r="G124" s="8">
        <v>45112</v>
      </c>
      <c r="H124" s="2" t="s">
        <v>127</v>
      </c>
    </row>
    <row r="125" spans="1:8" hidden="1">
      <c r="A125" s="2" t="s">
        <v>4</v>
      </c>
      <c r="B125" s="2"/>
      <c r="C125" s="2" t="s">
        <v>268</v>
      </c>
      <c r="D125" s="8">
        <v>45097</v>
      </c>
      <c r="E125" s="8"/>
      <c r="F125" s="8">
        <v>45127</v>
      </c>
      <c r="G125" s="8">
        <v>45112</v>
      </c>
      <c r="H125" s="2" t="s">
        <v>128</v>
      </c>
    </row>
    <row r="126" spans="1:8" hidden="1">
      <c r="A126" s="2" t="s">
        <v>4</v>
      </c>
      <c r="B126" s="2"/>
      <c r="C126" s="2" t="s">
        <v>268</v>
      </c>
      <c r="D126" s="8">
        <v>45097</v>
      </c>
      <c r="E126" s="8"/>
      <c r="F126" s="8">
        <v>45127</v>
      </c>
      <c r="G126" s="8">
        <v>45112</v>
      </c>
      <c r="H126" s="2" t="s">
        <v>129</v>
      </c>
    </row>
    <row r="127" spans="1:8" hidden="1">
      <c r="A127" s="2" t="s">
        <v>4</v>
      </c>
      <c r="B127" s="2"/>
      <c r="C127" s="2" t="s">
        <v>268</v>
      </c>
      <c r="D127" s="8">
        <v>45104</v>
      </c>
      <c r="E127" s="8"/>
      <c r="F127" s="8">
        <v>45131</v>
      </c>
      <c r="G127" s="8">
        <v>45119</v>
      </c>
      <c r="H127" s="2" t="s">
        <v>130</v>
      </c>
    </row>
    <row r="128" spans="1:8" hidden="1">
      <c r="A128" s="2" t="s">
        <v>4</v>
      </c>
      <c r="B128" s="2"/>
      <c r="C128" s="2" t="s">
        <v>268</v>
      </c>
      <c r="D128" s="8">
        <v>45104</v>
      </c>
      <c r="E128" s="8"/>
      <c r="F128" s="8">
        <v>45131</v>
      </c>
      <c r="G128" s="8">
        <v>45119</v>
      </c>
      <c r="H128" s="2" t="s">
        <v>131</v>
      </c>
    </row>
    <row r="129" spans="1:8" hidden="1">
      <c r="A129" s="2" t="s">
        <v>4</v>
      </c>
      <c r="B129" s="2"/>
      <c r="C129" s="2" t="s">
        <v>268</v>
      </c>
      <c r="D129" s="8">
        <v>45104</v>
      </c>
      <c r="E129" s="8"/>
      <c r="F129" s="8">
        <v>45131</v>
      </c>
      <c r="G129" s="8">
        <v>45119</v>
      </c>
      <c r="H129" s="2" t="s">
        <v>132</v>
      </c>
    </row>
    <row r="130" spans="1:8" hidden="1">
      <c r="A130" s="2" t="s">
        <v>4</v>
      </c>
      <c r="B130" s="2"/>
      <c r="C130" s="2" t="s">
        <v>268</v>
      </c>
      <c r="D130" s="8">
        <v>45104</v>
      </c>
      <c r="E130" s="8"/>
      <c r="F130" s="8">
        <v>45131</v>
      </c>
      <c r="G130" s="8">
        <v>45119</v>
      </c>
      <c r="H130" s="2" t="s">
        <v>133</v>
      </c>
    </row>
    <row r="131" spans="1:8" hidden="1">
      <c r="A131" s="2" t="s">
        <v>4</v>
      </c>
      <c r="B131" s="2"/>
      <c r="C131" s="2" t="s">
        <v>268</v>
      </c>
      <c r="D131" s="8">
        <v>45104</v>
      </c>
      <c r="E131" s="8"/>
      <c r="F131" s="8">
        <v>45131</v>
      </c>
      <c r="G131" s="8">
        <v>45119</v>
      </c>
      <c r="H131" s="2" t="s">
        <v>134</v>
      </c>
    </row>
    <row r="132" spans="1:8" hidden="1">
      <c r="A132" s="2" t="s">
        <v>4</v>
      </c>
      <c r="B132" s="2"/>
      <c r="C132" s="2" t="s">
        <v>268</v>
      </c>
      <c r="D132" s="8">
        <v>45104</v>
      </c>
      <c r="E132" s="8"/>
      <c r="F132" s="8">
        <v>45131</v>
      </c>
      <c r="G132" s="8">
        <v>45119</v>
      </c>
      <c r="H132" s="2" t="s">
        <v>135</v>
      </c>
    </row>
    <row r="133" spans="1:8" hidden="1">
      <c r="A133" s="2" t="s">
        <v>4</v>
      </c>
      <c r="B133" s="2"/>
      <c r="C133" s="2" t="s">
        <v>268</v>
      </c>
      <c r="D133" s="8">
        <v>45104</v>
      </c>
      <c r="E133" s="8"/>
      <c r="F133" s="8">
        <v>45131</v>
      </c>
      <c r="G133" s="8">
        <v>45119</v>
      </c>
      <c r="H133" s="2" t="s">
        <v>136</v>
      </c>
    </row>
    <row r="134" spans="1:8" hidden="1">
      <c r="A134" s="2" t="s">
        <v>5</v>
      </c>
      <c r="B134" s="2"/>
      <c r="C134" s="2" t="s">
        <v>282</v>
      </c>
      <c r="D134" s="8">
        <v>45127</v>
      </c>
      <c r="E134" s="8"/>
      <c r="F134" s="8">
        <v>45154</v>
      </c>
      <c r="G134" s="8">
        <v>45142</v>
      </c>
      <c r="H134" s="2" t="s">
        <v>137</v>
      </c>
    </row>
    <row r="135" spans="1:8" hidden="1">
      <c r="A135" s="2" t="s">
        <v>5</v>
      </c>
      <c r="B135" s="2"/>
      <c r="C135" s="2" t="s">
        <v>282</v>
      </c>
      <c r="D135" s="8">
        <v>45127</v>
      </c>
      <c r="E135" s="8"/>
      <c r="F135" s="8">
        <v>45154</v>
      </c>
      <c r="G135" s="8">
        <v>45142</v>
      </c>
      <c r="H135" s="2" t="s">
        <v>138</v>
      </c>
    </row>
    <row r="136" spans="1:8" hidden="1">
      <c r="A136" s="2" t="s">
        <v>4</v>
      </c>
      <c r="B136" s="2"/>
      <c r="C136" s="2" t="s">
        <v>283</v>
      </c>
      <c r="D136" s="8">
        <v>45097</v>
      </c>
      <c r="E136" s="8"/>
      <c r="F136" s="8">
        <v>45126</v>
      </c>
      <c r="G136" s="8">
        <v>45112</v>
      </c>
      <c r="H136" s="2" t="s">
        <v>139</v>
      </c>
    </row>
    <row r="137" spans="1:8" hidden="1">
      <c r="A137" s="2" t="s">
        <v>4</v>
      </c>
      <c r="B137" s="2"/>
      <c r="C137" s="2" t="s">
        <v>283</v>
      </c>
      <c r="D137" s="8">
        <v>45097</v>
      </c>
      <c r="E137" s="8"/>
      <c r="F137" s="8">
        <v>45126</v>
      </c>
      <c r="G137" s="8">
        <v>45112</v>
      </c>
      <c r="H137" s="2" t="s">
        <v>140</v>
      </c>
    </row>
    <row r="138" spans="1:8" hidden="1">
      <c r="A138" s="2" t="s">
        <v>4</v>
      </c>
      <c r="B138" s="2"/>
      <c r="C138" s="2" t="s">
        <v>283</v>
      </c>
      <c r="D138" s="8">
        <v>45097</v>
      </c>
      <c r="E138" s="8"/>
      <c r="F138" s="8">
        <v>45126</v>
      </c>
      <c r="G138" s="8">
        <v>45112</v>
      </c>
      <c r="H138" s="2" t="s">
        <v>141</v>
      </c>
    </row>
    <row r="139" spans="1:8" hidden="1">
      <c r="A139" s="2" t="s">
        <v>4</v>
      </c>
      <c r="B139" s="2"/>
      <c r="C139" s="2" t="s">
        <v>283</v>
      </c>
      <c r="D139" s="8">
        <v>45097</v>
      </c>
      <c r="E139" s="8"/>
      <c r="F139" s="8">
        <v>45126</v>
      </c>
      <c r="G139" s="8">
        <v>45112</v>
      </c>
      <c r="H139" s="2" t="s">
        <v>142</v>
      </c>
    </row>
    <row r="140" spans="1:8" hidden="1">
      <c r="A140" s="2" t="s">
        <v>4</v>
      </c>
      <c r="B140" s="2"/>
      <c r="C140" s="2" t="s">
        <v>283</v>
      </c>
      <c r="D140" s="8">
        <v>45097</v>
      </c>
      <c r="E140" s="8"/>
      <c r="F140" s="8">
        <v>45126</v>
      </c>
      <c r="G140" s="8">
        <v>45112</v>
      </c>
      <c r="H140" s="2" t="s">
        <v>143</v>
      </c>
    </row>
    <row r="141" spans="1:8" hidden="1">
      <c r="A141" s="2" t="s">
        <v>4</v>
      </c>
      <c r="B141" s="2"/>
      <c r="C141" s="2" t="s">
        <v>283</v>
      </c>
      <c r="D141" s="8">
        <v>45097</v>
      </c>
      <c r="E141" s="8"/>
      <c r="F141" s="8">
        <v>45126</v>
      </c>
      <c r="G141" s="8">
        <v>45112</v>
      </c>
      <c r="H141" s="2" t="s">
        <v>144</v>
      </c>
    </row>
    <row r="142" spans="1:8" hidden="1">
      <c r="A142" s="2" t="s">
        <v>4</v>
      </c>
      <c r="B142" s="2"/>
      <c r="C142" s="2" t="s">
        <v>283</v>
      </c>
      <c r="D142" s="8">
        <v>45097</v>
      </c>
      <c r="E142" s="8"/>
      <c r="F142" s="8">
        <v>45126</v>
      </c>
      <c r="G142" s="8">
        <v>45112</v>
      </c>
      <c r="H142" s="2" t="s">
        <v>145</v>
      </c>
    </row>
    <row r="143" spans="1:8" hidden="1">
      <c r="A143" s="2" t="s">
        <v>3</v>
      </c>
      <c r="B143" s="2"/>
      <c r="C143" s="2" t="s">
        <v>284</v>
      </c>
      <c r="D143" s="8">
        <v>45099</v>
      </c>
      <c r="E143" s="8"/>
      <c r="F143" s="8">
        <v>45126</v>
      </c>
      <c r="G143" s="8">
        <v>45114</v>
      </c>
      <c r="H143" s="2" t="s">
        <v>146</v>
      </c>
    </row>
    <row r="144" spans="1:8" hidden="1">
      <c r="A144" s="2" t="s">
        <v>3</v>
      </c>
      <c r="B144" s="2"/>
      <c r="C144" s="2" t="s">
        <v>284</v>
      </c>
      <c r="D144" s="8">
        <v>45099</v>
      </c>
      <c r="E144" s="8"/>
      <c r="F144" s="8">
        <v>45126</v>
      </c>
      <c r="G144" s="8">
        <v>45114</v>
      </c>
      <c r="H144" s="2" t="s">
        <v>147</v>
      </c>
    </row>
    <row r="145" spans="1:8" hidden="1">
      <c r="A145" s="2" t="s">
        <v>3</v>
      </c>
      <c r="B145" s="2"/>
      <c r="C145" s="2" t="s">
        <v>285</v>
      </c>
      <c r="D145" s="8">
        <v>45099</v>
      </c>
      <c r="E145" s="8"/>
      <c r="F145" s="8">
        <v>45126</v>
      </c>
      <c r="G145" s="8">
        <v>45114</v>
      </c>
      <c r="H145" s="2" t="s">
        <v>148</v>
      </c>
    </row>
    <row r="146" spans="1:8" hidden="1">
      <c r="A146" s="2" t="s">
        <v>3</v>
      </c>
      <c r="B146" s="2"/>
      <c r="C146" s="2" t="s">
        <v>284</v>
      </c>
      <c r="D146" s="8">
        <v>45099</v>
      </c>
      <c r="E146" s="8"/>
      <c r="F146" s="8">
        <v>45126</v>
      </c>
      <c r="G146" s="8">
        <v>45114</v>
      </c>
      <c r="H146" s="2" t="s">
        <v>149</v>
      </c>
    </row>
    <row r="147" spans="1:8" hidden="1">
      <c r="A147" s="2" t="s">
        <v>3</v>
      </c>
      <c r="B147" s="2"/>
      <c r="C147" s="2" t="s">
        <v>284</v>
      </c>
      <c r="D147" s="8">
        <v>45099</v>
      </c>
      <c r="E147" s="8"/>
      <c r="F147" s="8">
        <v>45126</v>
      </c>
      <c r="G147" s="8">
        <v>45114</v>
      </c>
      <c r="H147" s="2" t="s">
        <v>150</v>
      </c>
    </row>
    <row r="148" spans="1:8" hidden="1">
      <c r="A148" s="2" t="s">
        <v>3</v>
      </c>
      <c r="B148" s="2"/>
      <c r="C148" s="2" t="s">
        <v>284</v>
      </c>
      <c r="D148" s="8">
        <v>45099</v>
      </c>
      <c r="E148" s="8"/>
      <c r="F148" s="8">
        <v>45126</v>
      </c>
      <c r="G148" s="8">
        <v>45114</v>
      </c>
      <c r="H148" s="2" t="s">
        <v>151</v>
      </c>
    </row>
    <row r="149" spans="1:8" hidden="1">
      <c r="A149" s="2" t="s">
        <v>3</v>
      </c>
      <c r="B149" s="2"/>
      <c r="C149" s="2" t="s">
        <v>284</v>
      </c>
      <c r="D149" s="8">
        <v>45099</v>
      </c>
      <c r="E149" s="8"/>
      <c r="F149" s="8">
        <v>45126</v>
      </c>
      <c r="G149" s="8">
        <v>45114</v>
      </c>
      <c r="H149" s="2" t="s">
        <v>152</v>
      </c>
    </row>
    <row r="150" spans="1:8" hidden="1">
      <c r="A150" s="2" t="s">
        <v>3</v>
      </c>
      <c r="B150" s="2"/>
      <c r="C150" s="2" t="s">
        <v>285</v>
      </c>
      <c r="D150" s="8">
        <v>45097</v>
      </c>
      <c r="E150" s="8"/>
      <c r="F150" s="8">
        <v>45126</v>
      </c>
      <c r="G150" s="8">
        <v>45112</v>
      </c>
      <c r="H150" s="2" t="s">
        <v>153</v>
      </c>
    </row>
    <row r="151" spans="1:8" hidden="1">
      <c r="A151" s="2" t="s">
        <v>3</v>
      </c>
      <c r="B151" s="2"/>
      <c r="C151" s="2" t="s">
        <v>285</v>
      </c>
      <c r="D151" s="8">
        <v>45097</v>
      </c>
      <c r="E151" s="8"/>
      <c r="F151" s="8">
        <v>45126</v>
      </c>
      <c r="G151" s="8">
        <v>45112</v>
      </c>
      <c r="H151" s="2" t="s">
        <v>154</v>
      </c>
    </row>
    <row r="152" spans="1:8" hidden="1">
      <c r="A152" s="2" t="s">
        <v>3</v>
      </c>
      <c r="B152" s="2"/>
      <c r="C152" s="2" t="s">
        <v>286</v>
      </c>
      <c r="D152" s="8">
        <v>45097</v>
      </c>
      <c r="E152" s="8"/>
      <c r="F152" s="8">
        <v>45126</v>
      </c>
      <c r="G152" s="8">
        <v>45112</v>
      </c>
      <c r="H152" s="2" t="s">
        <v>155</v>
      </c>
    </row>
    <row r="153" spans="1:8" hidden="1">
      <c r="A153" s="2" t="s">
        <v>3</v>
      </c>
      <c r="B153" s="2"/>
      <c r="C153" s="2" t="s">
        <v>286</v>
      </c>
      <c r="D153" s="8">
        <v>45097</v>
      </c>
      <c r="E153" s="8"/>
      <c r="F153" s="8">
        <v>45126</v>
      </c>
      <c r="G153" s="8">
        <v>45112</v>
      </c>
      <c r="H153" s="2" t="s">
        <v>156</v>
      </c>
    </row>
    <row r="154" spans="1:8" hidden="1">
      <c r="A154" s="2" t="s">
        <v>3</v>
      </c>
      <c r="B154" s="2"/>
      <c r="C154" s="2" t="s">
        <v>284</v>
      </c>
      <c r="D154" s="8">
        <v>45099</v>
      </c>
      <c r="E154" s="8"/>
      <c r="F154" s="8">
        <v>45126</v>
      </c>
      <c r="G154" s="8">
        <v>45114</v>
      </c>
      <c r="H154" s="2" t="s">
        <v>157</v>
      </c>
    </row>
    <row r="155" spans="1:8" hidden="1">
      <c r="A155" s="2" t="s">
        <v>3</v>
      </c>
      <c r="B155" s="2"/>
      <c r="C155" s="2" t="s">
        <v>284</v>
      </c>
      <c r="D155" s="8">
        <v>45099</v>
      </c>
      <c r="E155" s="8"/>
      <c r="F155" s="8">
        <v>45126</v>
      </c>
      <c r="G155" s="8">
        <v>45114</v>
      </c>
      <c r="H155" s="2" t="s">
        <v>158</v>
      </c>
    </row>
    <row r="156" spans="1:8" hidden="1">
      <c r="A156" s="2" t="s">
        <v>5</v>
      </c>
      <c r="B156" s="2"/>
      <c r="C156" s="2" t="s">
        <v>287</v>
      </c>
      <c r="D156" s="8">
        <v>45113</v>
      </c>
      <c r="E156" s="8"/>
      <c r="F156" s="8">
        <v>45119</v>
      </c>
      <c r="G156" s="8">
        <v>45128</v>
      </c>
      <c r="H156" s="2" t="s">
        <v>159</v>
      </c>
    </row>
    <row r="157" spans="1:8" hidden="1">
      <c r="A157" s="2" t="s">
        <v>4</v>
      </c>
      <c r="B157" s="2"/>
      <c r="C157" s="2" t="s">
        <v>276</v>
      </c>
      <c r="D157" s="8">
        <v>45097</v>
      </c>
      <c r="E157" s="8"/>
      <c r="F157" s="8">
        <v>45126</v>
      </c>
      <c r="G157" s="8">
        <v>45112</v>
      </c>
      <c r="H157" s="2" t="s">
        <v>160</v>
      </c>
    </row>
    <row r="158" spans="1:8" hidden="1">
      <c r="A158" s="2" t="s">
        <v>4</v>
      </c>
      <c r="B158" s="2"/>
      <c r="C158" s="2" t="s">
        <v>276</v>
      </c>
      <c r="D158" s="8">
        <v>45097</v>
      </c>
      <c r="E158" s="8"/>
      <c r="F158" s="8">
        <v>45126</v>
      </c>
      <c r="G158" s="8">
        <v>45112</v>
      </c>
      <c r="H158" s="2" t="s">
        <v>161</v>
      </c>
    </row>
    <row r="159" spans="1:8" hidden="1">
      <c r="A159" s="2" t="s">
        <v>3</v>
      </c>
      <c r="B159" s="2"/>
      <c r="C159" s="2" t="s">
        <v>288</v>
      </c>
      <c r="D159" s="8">
        <v>45104</v>
      </c>
      <c r="E159" s="8"/>
      <c r="F159" s="8">
        <v>45131</v>
      </c>
      <c r="G159" s="8">
        <v>45119</v>
      </c>
      <c r="H159" s="2" t="s">
        <v>162</v>
      </c>
    </row>
    <row r="160" spans="1:8" hidden="1">
      <c r="A160" s="2" t="s">
        <v>3</v>
      </c>
      <c r="B160" s="2"/>
      <c r="C160" s="2" t="s">
        <v>289</v>
      </c>
      <c r="D160" s="8">
        <v>45104</v>
      </c>
      <c r="E160" s="8"/>
      <c r="F160" s="8">
        <v>45131</v>
      </c>
      <c r="G160" s="8">
        <v>45119</v>
      </c>
      <c r="H160" s="2" t="s">
        <v>163</v>
      </c>
    </row>
    <row r="161" spans="1:8" hidden="1">
      <c r="A161" s="2" t="s">
        <v>3</v>
      </c>
      <c r="B161" s="2"/>
      <c r="C161" s="2" t="s">
        <v>290</v>
      </c>
      <c r="D161" s="8">
        <v>45071</v>
      </c>
      <c r="E161" s="8"/>
      <c r="F161" s="8">
        <v>45151</v>
      </c>
      <c r="G161" s="8">
        <v>45086</v>
      </c>
      <c r="H161" s="2" t="s">
        <v>164</v>
      </c>
    </row>
    <row r="162" spans="1:8" hidden="1">
      <c r="A162" s="2" t="s">
        <v>3</v>
      </c>
      <c r="B162" s="2"/>
      <c r="C162" s="2" t="s">
        <v>290</v>
      </c>
      <c r="D162" s="8">
        <v>45071</v>
      </c>
      <c r="E162" s="8"/>
      <c r="F162" s="8">
        <v>45151</v>
      </c>
      <c r="G162" s="8">
        <v>45086</v>
      </c>
      <c r="H162" s="2" t="s">
        <v>165</v>
      </c>
    </row>
    <row r="163" spans="1:8" hidden="1">
      <c r="A163" s="2" t="s">
        <v>3</v>
      </c>
      <c r="B163" s="2"/>
      <c r="C163" s="2" t="s">
        <v>290</v>
      </c>
      <c r="D163" s="8">
        <v>45071</v>
      </c>
      <c r="E163" s="8"/>
      <c r="F163" s="8">
        <v>45151</v>
      </c>
      <c r="G163" s="8">
        <v>45086</v>
      </c>
      <c r="H163" s="2" t="s">
        <v>166</v>
      </c>
    </row>
    <row r="164" spans="1:8" hidden="1">
      <c r="A164" s="2" t="s">
        <v>3</v>
      </c>
      <c r="B164" s="2"/>
      <c r="C164" s="2" t="s">
        <v>291</v>
      </c>
      <c r="D164" s="8">
        <v>45132</v>
      </c>
      <c r="E164" s="8"/>
      <c r="F164" s="8">
        <v>45166</v>
      </c>
      <c r="G164" s="8">
        <v>45147</v>
      </c>
      <c r="H164" s="2" t="s">
        <v>167</v>
      </c>
    </row>
    <row r="165" spans="1:8" hidden="1">
      <c r="A165" s="2" t="s">
        <v>4</v>
      </c>
      <c r="B165" s="2"/>
      <c r="C165" s="2" t="s">
        <v>292</v>
      </c>
      <c r="D165" s="8">
        <v>45126</v>
      </c>
      <c r="E165" s="8"/>
      <c r="F165" s="8">
        <v>45156</v>
      </c>
      <c r="G165" s="8">
        <v>45141</v>
      </c>
      <c r="H165" s="2" t="s">
        <v>168</v>
      </c>
    </row>
    <row r="166" spans="1:8" hidden="1">
      <c r="A166" s="2" t="s">
        <v>5</v>
      </c>
      <c r="B166" s="2"/>
      <c r="C166" s="2" t="s">
        <v>293</v>
      </c>
      <c r="D166" s="8">
        <v>45127</v>
      </c>
      <c r="E166" s="8"/>
      <c r="F166" s="8">
        <v>45157</v>
      </c>
      <c r="G166" s="8">
        <v>45142</v>
      </c>
      <c r="H166" s="2" t="s">
        <v>169</v>
      </c>
    </row>
    <row r="167" spans="1:8" hidden="1">
      <c r="A167" s="2" t="s">
        <v>5</v>
      </c>
      <c r="B167" s="2"/>
      <c r="C167" s="2" t="s">
        <v>293</v>
      </c>
      <c r="D167" s="8">
        <v>45127</v>
      </c>
      <c r="E167" s="8"/>
      <c r="F167" s="8">
        <v>45157</v>
      </c>
      <c r="G167" s="8">
        <v>45142</v>
      </c>
      <c r="H167" s="2" t="s">
        <v>170</v>
      </c>
    </row>
    <row r="168" spans="1:8" hidden="1">
      <c r="A168" s="2" t="s">
        <v>5</v>
      </c>
      <c r="B168" s="2"/>
      <c r="C168" s="2" t="s">
        <v>293</v>
      </c>
      <c r="D168" s="8">
        <v>45127</v>
      </c>
      <c r="E168" s="8"/>
      <c r="F168" s="8">
        <v>45157</v>
      </c>
      <c r="G168" s="8">
        <v>45142</v>
      </c>
      <c r="H168" s="2" t="s">
        <v>171</v>
      </c>
    </row>
    <row r="169" spans="1:8" hidden="1">
      <c r="A169" s="2" t="s">
        <v>5</v>
      </c>
      <c r="B169" s="2"/>
      <c r="C169" s="2" t="s">
        <v>293</v>
      </c>
      <c r="D169" s="8">
        <v>45127</v>
      </c>
      <c r="E169" s="8"/>
      <c r="F169" s="8">
        <v>45157</v>
      </c>
      <c r="G169" s="8">
        <v>45142</v>
      </c>
      <c r="H169" s="2" t="s">
        <v>172</v>
      </c>
    </row>
    <row r="170" spans="1:8" hidden="1">
      <c r="A170" s="2" t="s">
        <v>5</v>
      </c>
      <c r="B170" s="2"/>
      <c r="C170" s="2" t="s">
        <v>293</v>
      </c>
      <c r="D170" s="8">
        <v>45127</v>
      </c>
      <c r="E170" s="8"/>
      <c r="F170" s="8">
        <v>45157</v>
      </c>
      <c r="G170" s="8">
        <v>45142</v>
      </c>
      <c r="H170" s="2" t="s">
        <v>173</v>
      </c>
    </row>
    <row r="171" spans="1:8" hidden="1">
      <c r="A171" s="2" t="s">
        <v>5</v>
      </c>
      <c r="B171" s="2"/>
      <c r="C171" s="2" t="s">
        <v>294</v>
      </c>
      <c r="D171" s="8">
        <v>45132</v>
      </c>
      <c r="E171" s="8"/>
      <c r="F171" s="8">
        <v>45163</v>
      </c>
      <c r="G171" s="8">
        <v>45147</v>
      </c>
      <c r="H171" s="2" t="s">
        <v>174</v>
      </c>
    </row>
    <row r="172" spans="1:8" hidden="1">
      <c r="A172" s="2" t="s">
        <v>5</v>
      </c>
      <c r="B172" s="2"/>
      <c r="C172" s="2" t="s">
        <v>294</v>
      </c>
      <c r="D172" s="8">
        <v>45132</v>
      </c>
      <c r="E172" s="8"/>
      <c r="F172" s="8">
        <v>45163</v>
      </c>
      <c r="G172" s="8">
        <v>45147</v>
      </c>
      <c r="H172" s="2" t="s">
        <v>175</v>
      </c>
    </row>
    <row r="173" spans="1:8" hidden="1">
      <c r="A173" s="2" t="s">
        <v>5</v>
      </c>
      <c r="B173" s="2"/>
      <c r="C173" s="2" t="s">
        <v>294</v>
      </c>
      <c r="D173" s="8">
        <v>45132</v>
      </c>
      <c r="E173" s="8"/>
      <c r="F173" s="8">
        <v>45163</v>
      </c>
      <c r="G173" s="8">
        <v>45147</v>
      </c>
      <c r="H173" s="2" t="s">
        <v>176</v>
      </c>
    </row>
    <row r="174" spans="1:8" hidden="1">
      <c r="A174" s="2" t="s">
        <v>5</v>
      </c>
      <c r="B174" s="2"/>
      <c r="C174" s="2" t="s">
        <v>294</v>
      </c>
      <c r="D174" s="8">
        <v>45132</v>
      </c>
      <c r="E174" s="8"/>
      <c r="F174" s="8">
        <v>45163</v>
      </c>
      <c r="G174" s="8">
        <v>45147</v>
      </c>
      <c r="H174" s="2" t="s">
        <v>177</v>
      </c>
    </row>
    <row r="175" spans="1:8" hidden="1">
      <c r="A175" s="2" t="s">
        <v>5</v>
      </c>
      <c r="B175" s="2"/>
      <c r="C175" s="2" t="s">
        <v>294</v>
      </c>
      <c r="D175" s="8">
        <v>45132</v>
      </c>
      <c r="E175" s="8"/>
      <c r="F175" s="8">
        <v>45163</v>
      </c>
      <c r="G175" s="8">
        <v>45147</v>
      </c>
      <c r="H175" s="2" t="s">
        <v>178</v>
      </c>
    </row>
    <row r="176" spans="1:8" hidden="1">
      <c r="A176" s="2" t="s">
        <v>5</v>
      </c>
      <c r="B176" s="2"/>
      <c r="C176" s="2" t="s">
        <v>294</v>
      </c>
      <c r="D176" s="8">
        <v>45132</v>
      </c>
      <c r="E176" s="8"/>
      <c r="F176" s="8">
        <v>45163</v>
      </c>
      <c r="G176" s="8">
        <v>45147</v>
      </c>
      <c r="H176" s="2" t="s">
        <v>179</v>
      </c>
    </row>
    <row r="177" spans="1:8" hidden="1">
      <c r="A177" s="2" t="s">
        <v>5</v>
      </c>
      <c r="B177" s="2"/>
      <c r="C177" s="2" t="s">
        <v>295</v>
      </c>
      <c r="D177" s="8">
        <v>45127</v>
      </c>
      <c r="E177" s="8"/>
      <c r="F177" s="8">
        <v>45166</v>
      </c>
      <c r="G177" s="8">
        <v>45142</v>
      </c>
      <c r="H177" s="2" t="s">
        <v>180</v>
      </c>
    </row>
    <row r="178" spans="1:8" hidden="1">
      <c r="A178" s="2" t="s">
        <v>5</v>
      </c>
      <c r="B178" s="2"/>
      <c r="C178" s="2" t="s">
        <v>295</v>
      </c>
      <c r="D178" s="8">
        <v>45127</v>
      </c>
      <c r="E178" s="8"/>
      <c r="F178" s="8">
        <v>45166</v>
      </c>
      <c r="G178" s="8">
        <v>45142</v>
      </c>
      <c r="H178" s="2" t="s">
        <v>181</v>
      </c>
    </row>
    <row r="179" spans="1:8" hidden="1">
      <c r="A179" s="2" t="s">
        <v>5</v>
      </c>
      <c r="B179" s="2"/>
      <c r="C179" s="2" t="s">
        <v>296</v>
      </c>
      <c r="D179" s="8">
        <v>45139</v>
      </c>
      <c r="E179" s="8"/>
      <c r="F179" s="8">
        <v>45199</v>
      </c>
      <c r="G179" s="8">
        <v>45154</v>
      </c>
      <c r="H179" s="2" t="s">
        <v>182</v>
      </c>
    </row>
    <row r="180" spans="1:8" hidden="1">
      <c r="A180" s="2" t="s">
        <v>5</v>
      </c>
      <c r="B180" s="2"/>
      <c r="C180" s="2" t="s">
        <v>296</v>
      </c>
      <c r="D180" s="8">
        <v>45139</v>
      </c>
      <c r="E180" s="8"/>
      <c r="F180" s="8">
        <v>45199</v>
      </c>
      <c r="G180" s="8">
        <v>45154</v>
      </c>
      <c r="H180" s="2" t="s">
        <v>183</v>
      </c>
    </row>
    <row r="181" spans="1:8" hidden="1">
      <c r="A181" s="2" t="s">
        <v>5</v>
      </c>
      <c r="B181" s="2"/>
      <c r="C181" s="2" t="s">
        <v>296</v>
      </c>
      <c r="D181" s="8">
        <v>45139</v>
      </c>
      <c r="E181" s="8"/>
      <c r="F181" s="8">
        <v>45199</v>
      </c>
      <c r="G181" s="8">
        <v>45154</v>
      </c>
      <c r="H181" s="2" t="s">
        <v>184</v>
      </c>
    </row>
    <row r="182" spans="1:8" hidden="1">
      <c r="A182" s="2" t="s">
        <v>5</v>
      </c>
      <c r="B182" s="2"/>
      <c r="C182" s="2" t="s">
        <v>296</v>
      </c>
      <c r="D182" s="8">
        <v>45139</v>
      </c>
      <c r="E182" s="8"/>
      <c r="F182" s="8">
        <v>45199</v>
      </c>
      <c r="G182" s="8">
        <v>45154</v>
      </c>
      <c r="H182" s="2" t="s">
        <v>185</v>
      </c>
    </row>
    <row r="183" spans="1:8" hidden="1">
      <c r="A183" s="2" t="s">
        <v>5</v>
      </c>
      <c r="B183" s="2"/>
      <c r="C183" s="2" t="s">
        <v>296</v>
      </c>
      <c r="D183" s="8">
        <v>45139</v>
      </c>
      <c r="E183" s="8"/>
      <c r="F183" s="8">
        <v>45199</v>
      </c>
      <c r="G183" s="8">
        <v>45154</v>
      </c>
      <c r="H183" s="2" t="s">
        <v>186</v>
      </c>
    </row>
    <row r="184" spans="1:8" hidden="1">
      <c r="A184" s="2" t="s">
        <v>5</v>
      </c>
      <c r="B184" s="2"/>
      <c r="C184" s="2" t="s">
        <v>296</v>
      </c>
      <c r="D184" s="8">
        <v>45139</v>
      </c>
      <c r="E184" s="8"/>
      <c r="F184" s="8">
        <v>45199</v>
      </c>
      <c r="G184" s="8">
        <v>45154</v>
      </c>
      <c r="H184" s="2" t="s">
        <v>187</v>
      </c>
    </row>
    <row r="185" spans="1:8" hidden="1">
      <c r="A185" s="2" t="s">
        <v>5</v>
      </c>
      <c r="B185" s="2"/>
      <c r="C185" s="2" t="s">
        <v>297</v>
      </c>
      <c r="D185" s="8">
        <v>45127</v>
      </c>
      <c r="E185" s="8"/>
      <c r="F185" s="8">
        <v>45154</v>
      </c>
      <c r="G185" s="8">
        <v>45142</v>
      </c>
      <c r="H185" s="2" t="s">
        <v>188</v>
      </c>
    </row>
    <row r="186" spans="1:8" hidden="1">
      <c r="A186" s="2" t="s">
        <v>4</v>
      </c>
      <c r="B186" s="2"/>
      <c r="C186" s="2" t="s">
        <v>298</v>
      </c>
      <c r="D186" s="8">
        <v>45134</v>
      </c>
      <c r="E186" s="8"/>
      <c r="F186" s="8">
        <v>45154</v>
      </c>
      <c r="G186" s="8">
        <v>45149</v>
      </c>
      <c r="H186" s="2" t="s">
        <v>189</v>
      </c>
    </row>
    <row r="187" spans="1:8" hidden="1">
      <c r="A187" s="2" t="s">
        <v>4</v>
      </c>
      <c r="B187" s="2"/>
      <c r="C187" s="2" t="s">
        <v>298</v>
      </c>
      <c r="D187" s="8">
        <v>45132</v>
      </c>
      <c r="E187" s="8"/>
      <c r="F187" s="8">
        <v>45165</v>
      </c>
      <c r="G187" s="8">
        <v>45147</v>
      </c>
      <c r="H187" s="2" t="s">
        <v>190</v>
      </c>
    </row>
    <row r="188" spans="1:8" hidden="1">
      <c r="A188" s="2" t="s">
        <v>2</v>
      </c>
      <c r="B188" s="2"/>
      <c r="C188" s="2" t="s">
        <v>299</v>
      </c>
      <c r="D188" s="8">
        <v>45127</v>
      </c>
      <c r="E188" s="8"/>
      <c r="F188" s="8">
        <v>45161</v>
      </c>
      <c r="G188" s="8">
        <v>45142</v>
      </c>
      <c r="H188" s="2" t="s">
        <v>191</v>
      </c>
    </row>
    <row r="189" spans="1:8" hidden="1">
      <c r="A189" s="2" t="s">
        <v>5</v>
      </c>
      <c r="B189" s="2"/>
      <c r="C189" s="2" t="s">
        <v>293</v>
      </c>
      <c r="D189" s="8">
        <v>45145</v>
      </c>
      <c r="E189" s="8"/>
      <c r="F189" s="8">
        <v>45191</v>
      </c>
      <c r="G189" s="8">
        <v>45160</v>
      </c>
      <c r="H189" s="2" t="s">
        <v>192</v>
      </c>
    </row>
    <row r="190" spans="1:8" hidden="1">
      <c r="A190" s="2" t="s">
        <v>5</v>
      </c>
      <c r="B190" s="2"/>
      <c r="C190" s="2" t="s">
        <v>300</v>
      </c>
      <c r="D190" s="8">
        <v>45145</v>
      </c>
      <c r="E190" s="8"/>
      <c r="F190" s="8">
        <v>45191</v>
      </c>
      <c r="G190" s="8">
        <v>45160</v>
      </c>
      <c r="H190" s="2" t="s">
        <v>193</v>
      </c>
    </row>
    <row r="191" spans="1:8" hidden="1">
      <c r="A191" s="2" t="s">
        <v>4</v>
      </c>
      <c r="B191" s="2"/>
      <c r="C191" s="2" t="s">
        <v>301</v>
      </c>
      <c r="D191" s="8">
        <v>45132</v>
      </c>
      <c r="E191" s="8"/>
      <c r="F191" s="8">
        <v>45194</v>
      </c>
      <c r="G191" s="8">
        <v>45161</v>
      </c>
      <c r="H191" s="2" t="s">
        <v>194</v>
      </c>
    </row>
    <row r="192" spans="1:8" hidden="1">
      <c r="A192" s="2" t="s">
        <v>4</v>
      </c>
      <c r="B192" s="2"/>
      <c r="C192" s="2" t="s">
        <v>301</v>
      </c>
      <c r="D192" s="8">
        <v>45132</v>
      </c>
      <c r="E192" s="8"/>
      <c r="F192" s="8">
        <v>45194</v>
      </c>
      <c r="G192" s="8">
        <v>45161</v>
      </c>
      <c r="H192" s="2" t="s">
        <v>195</v>
      </c>
    </row>
    <row r="193" spans="1:8" hidden="1">
      <c r="A193" s="2" t="s">
        <v>4</v>
      </c>
      <c r="B193" s="2"/>
      <c r="C193" s="2" t="s">
        <v>301</v>
      </c>
      <c r="D193" s="8">
        <v>45134</v>
      </c>
      <c r="E193" s="8"/>
      <c r="F193" s="8">
        <v>45154</v>
      </c>
      <c r="G193" s="8">
        <v>45149</v>
      </c>
      <c r="H193" s="2" t="s">
        <v>196</v>
      </c>
    </row>
    <row r="194" spans="1:8" hidden="1">
      <c r="A194" s="2" t="s">
        <v>4</v>
      </c>
      <c r="B194" s="2"/>
      <c r="C194" s="2" t="s">
        <v>301</v>
      </c>
      <c r="D194" s="8">
        <v>45134</v>
      </c>
      <c r="E194" s="8"/>
      <c r="F194" s="8">
        <v>45154</v>
      </c>
      <c r="G194" s="8">
        <v>45149</v>
      </c>
      <c r="H194" s="2" t="s">
        <v>197</v>
      </c>
    </row>
    <row r="195" spans="1:8" hidden="1">
      <c r="A195" s="2" t="s">
        <v>4</v>
      </c>
      <c r="B195" s="2"/>
      <c r="C195" s="2" t="s">
        <v>301</v>
      </c>
      <c r="D195" s="8">
        <v>45134</v>
      </c>
      <c r="E195" s="8"/>
      <c r="F195" s="8">
        <v>45154</v>
      </c>
      <c r="G195" s="8">
        <v>45149</v>
      </c>
      <c r="H195" s="2" t="s">
        <v>198</v>
      </c>
    </row>
    <row r="196" spans="1:8" hidden="1">
      <c r="A196" s="2" t="s">
        <v>4</v>
      </c>
      <c r="B196" s="2"/>
      <c r="C196" s="2" t="s">
        <v>301</v>
      </c>
      <c r="D196" s="8">
        <v>45134</v>
      </c>
      <c r="E196" s="8"/>
      <c r="F196" s="8">
        <v>45154</v>
      </c>
      <c r="G196" s="8">
        <v>45149</v>
      </c>
      <c r="H196" s="2" t="s">
        <v>199</v>
      </c>
    </row>
    <row r="197" spans="1:8" hidden="1">
      <c r="A197" s="2" t="s">
        <v>4</v>
      </c>
      <c r="B197" s="2"/>
      <c r="C197" s="2" t="s">
        <v>301</v>
      </c>
      <c r="D197" s="8"/>
      <c r="E197" s="8"/>
      <c r="F197" s="8"/>
      <c r="G197" s="8"/>
      <c r="H197" s="2" t="s">
        <v>200</v>
      </c>
    </row>
    <row r="198" spans="1:8" hidden="1">
      <c r="A198" s="2" t="s">
        <v>4</v>
      </c>
      <c r="B198" s="2"/>
      <c r="C198" s="2" t="s">
        <v>301</v>
      </c>
      <c r="D198" s="8"/>
      <c r="E198" s="8"/>
      <c r="F198" s="8"/>
      <c r="G198" s="8"/>
      <c r="H198" s="2" t="s">
        <v>201</v>
      </c>
    </row>
    <row r="199" spans="1:8" hidden="1">
      <c r="A199" s="2" t="s">
        <v>4</v>
      </c>
      <c r="B199" s="2"/>
      <c r="C199" s="2" t="s">
        <v>301</v>
      </c>
      <c r="D199" s="8"/>
      <c r="E199" s="8"/>
      <c r="F199" s="8"/>
      <c r="G199" s="8"/>
      <c r="H199" s="2" t="s">
        <v>202</v>
      </c>
    </row>
    <row r="200" spans="1:8" hidden="1">
      <c r="A200" s="2" t="s">
        <v>4</v>
      </c>
      <c r="B200" s="2"/>
      <c r="C200" s="2" t="s">
        <v>301</v>
      </c>
      <c r="D200" s="8"/>
      <c r="E200" s="8"/>
      <c r="F200" s="8"/>
      <c r="G200" s="8"/>
      <c r="H200" s="2" t="s">
        <v>203</v>
      </c>
    </row>
    <row r="201" spans="1:8" hidden="1">
      <c r="A201" s="2" t="s">
        <v>4</v>
      </c>
      <c r="B201" s="2"/>
      <c r="C201" s="2" t="s">
        <v>301</v>
      </c>
      <c r="D201" s="8">
        <v>45134</v>
      </c>
      <c r="E201" s="8"/>
      <c r="F201" s="8">
        <v>45154</v>
      </c>
      <c r="G201" s="8">
        <v>45149</v>
      </c>
      <c r="H201" s="2" t="s">
        <v>204</v>
      </c>
    </row>
    <row r="202" spans="1:8" hidden="1">
      <c r="A202" s="2" t="s">
        <v>4</v>
      </c>
      <c r="B202" s="2"/>
      <c r="C202" s="2" t="s">
        <v>301</v>
      </c>
      <c r="D202" s="8">
        <v>45134</v>
      </c>
      <c r="E202" s="8"/>
      <c r="F202" s="8">
        <v>45154</v>
      </c>
      <c r="G202" s="8">
        <v>45149</v>
      </c>
      <c r="H202" s="2" t="s">
        <v>205</v>
      </c>
    </row>
    <row r="203" spans="1:8" hidden="1">
      <c r="A203" s="2" t="s">
        <v>4</v>
      </c>
      <c r="B203" s="2"/>
      <c r="C203" s="2" t="s">
        <v>301</v>
      </c>
      <c r="D203" s="8">
        <v>45134</v>
      </c>
      <c r="E203" s="8"/>
      <c r="F203" s="8">
        <v>45154</v>
      </c>
      <c r="G203" s="8">
        <v>45149</v>
      </c>
      <c r="H203" s="2" t="s">
        <v>206</v>
      </c>
    </row>
    <row r="204" spans="1:8" hidden="1">
      <c r="A204" s="2" t="s">
        <v>5</v>
      </c>
      <c r="B204" s="2"/>
      <c r="C204" s="2" t="s">
        <v>302</v>
      </c>
      <c r="D204" s="8">
        <v>45117</v>
      </c>
      <c r="E204" s="8"/>
      <c r="F204" s="8">
        <v>45209</v>
      </c>
      <c r="G204" s="8">
        <v>45132</v>
      </c>
      <c r="H204" s="2" t="s">
        <v>207</v>
      </c>
    </row>
    <row r="205" spans="1:8" hidden="1">
      <c r="A205" s="2" t="s">
        <v>5</v>
      </c>
      <c r="B205" s="2"/>
      <c r="C205" s="2" t="s">
        <v>303</v>
      </c>
      <c r="D205" s="8">
        <v>45155</v>
      </c>
      <c r="E205" s="8"/>
      <c r="F205" s="8">
        <v>45189</v>
      </c>
      <c r="G205" s="8">
        <v>45170</v>
      </c>
      <c r="H205" s="2" t="s">
        <v>208</v>
      </c>
    </row>
    <row r="206" spans="1:8" hidden="1">
      <c r="A206" s="2" t="s">
        <v>5</v>
      </c>
      <c r="B206" s="2"/>
      <c r="C206" s="2" t="s">
        <v>303</v>
      </c>
      <c r="D206" s="8">
        <v>45155</v>
      </c>
      <c r="E206" s="8"/>
      <c r="F206" s="8">
        <v>45189</v>
      </c>
      <c r="G206" s="8">
        <v>45170</v>
      </c>
      <c r="H206" s="2" t="s">
        <v>209</v>
      </c>
    </row>
    <row r="207" spans="1:8" hidden="1">
      <c r="A207" s="2" t="s">
        <v>5</v>
      </c>
      <c r="B207" s="2"/>
      <c r="C207" s="2" t="s">
        <v>304</v>
      </c>
      <c r="D207" s="8">
        <v>45097</v>
      </c>
      <c r="E207" s="8"/>
      <c r="F207" s="8">
        <v>45126</v>
      </c>
      <c r="G207" s="8">
        <v>45112</v>
      </c>
      <c r="H207" s="2" t="s">
        <v>210</v>
      </c>
    </row>
    <row r="208" spans="1:8" hidden="1">
      <c r="A208" s="2" t="s">
        <v>5</v>
      </c>
      <c r="B208" s="2"/>
      <c r="C208" s="2" t="s">
        <v>300</v>
      </c>
      <c r="D208" s="8">
        <v>45127</v>
      </c>
      <c r="E208" s="8"/>
      <c r="F208" s="8">
        <v>45166</v>
      </c>
      <c r="G208" s="8">
        <v>45142</v>
      </c>
      <c r="H208" s="2" t="s">
        <v>211</v>
      </c>
    </row>
    <row r="209" spans="1:8" hidden="1">
      <c r="A209" s="2" t="s">
        <v>4</v>
      </c>
      <c r="B209" s="2"/>
      <c r="C209" s="2" t="s">
        <v>298</v>
      </c>
      <c r="D209" s="8"/>
      <c r="E209" s="8"/>
      <c r="F209" s="8"/>
      <c r="G209" s="8"/>
      <c r="H209" s="2" t="s">
        <v>212</v>
      </c>
    </row>
    <row r="210" spans="1:8" hidden="1">
      <c r="A210" s="2" t="s">
        <v>4</v>
      </c>
      <c r="B210" s="2"/>
      <c r="C210" s="2" t="s">
        <v>305</v>
      </c>
      <c r="D210" s="8">
        <v>45155</v>
      </c>
      <c r="E210" s="8"/>
      <c r="F210" s="8">
        <v>45189</v>
      </c>
      <c r="G210" s="8">
        <v>45170</v>
      </c>
      <c r="H210" s="2" t="s">
        <v>213</v>
      </c>
    </row>
    <row r="211" spans="1:8" hidden="1">
      <c r="A211" s="2" t="s">
        <v>4</v>
      </c>
      <c r="B211" s="2"/>
      <c r="C211" s="2" t="s">
        <v>306</v>
      </c>
      <c r="D211" s="8">
        <v>45161</v>
      </c>
      <c r="E211" s="8"/>
      <c r="F211" s="8">
        <v>45181</v>
      </c>
      <c r="G211" s="8">
        <v>45176</v>
      </c>
      <c r="H211" s="2" t="s">
        <v>214</v>
      </c>
    </row>
    <row r="212" spans="1:8" hidden="1">
      <c r="A212" s="2" t="s">
        <v>4</v>
      </c>
      <c r="B212" s="2"/>
      <c r="C212" s="2" t="s">
        <v>307</v>
      </c>
      <c r="D212" s="8">
        <v>45148</v>
      </c>
      <c r="E212" s="8"/>
      <c r="F212" s="8">
        <v>45194</v>
      </c>
      <c r="G212" s="8">
        <v>45167</v>
      </c>
      <c r="H212" s="2" t="s">
        <v>215</v>
      </c>
    </row>
    <row r="213" spans="1:8" hidden="1">
      <c r="A213" s="2" t="s">
        <v>4</v>
      </c>
      <c r="B213" s="2"/>
      <c r="C213" s="2" t="s">
        <v>307</v>
      </c>
      <c r="D213" s="8">
        <v>45155</v>
      </c>
      <c r="E213" s="8"/>
      <c r="F213" s="8">
        <v>45189</v>
      </c>
      <c r="G213" s="8">
        <v>45170</v>
      </c>
      <c r="H213" s="2" t="s">
        <v>216</v>
      </c>
    </row>
    <row r="214" spans="1:8" hidden="1">
      <c r="A214" s="2" t="s">
        <v>4</v>
      </c>
      <c r="B214" s="2"/>
      <c r="C214" s="2" t="s">
        <v>307</v>
      </c>
      <c r="D214" s="8">
        <v>45155</v>
      </c>
      <c r="E214" s="8"/>
      <c r="F214" s="8">
        <v>45189</v>
      </c>
      <c r="G214" s="8">
        <v>45170</v>
      </c>
      <c r="H214" s="2" t="s">
        <v>217</v>
      </c>
    </row>
    <row r="215" spans="1:8" hidden="1">
      <c r="A215" s="2" t="s">
        <v>5</v>
      </c>
      <c r="B215" s="2"/>
      <c r="C215" s="2" t="s">
        <v>308</v>
      </c>
      <c r="D215" s="8">
        <v>45153</v>
      </c>
      <c r="E215" s="8"/>
      <c r="F215" s="8">
        <v>45199</v>
      </c>
      <c r="G215" s="8">
        <v>45168</v>
      </c>
      <c r="H215" s="2" t="s">
        <v>218</v>
      </c>
    </row>
    <row r="216" spans="1:8" hidden="1">
      <c r="A216" s="2" t="s">
        <v>5</v>
      </c>
      <c r="B216" s="2"/>
      <c r="C216" s="2" t="s">
        <v>308</v>
      </c>
      <c r="D216" s="8">
        <v>45153</v>
      </c>
      <c r="E216" s="8"/>
      <c r="F216" s="8">
        <v>45199</v>
      </c>
      <c r="G216" s="8">
        <v>45168</v>
      </c>
      <c r="H216" s="2" t="s">
        <v>219</v>
      </c>
    </row>
    <row r="217" spans="1:8" hidden="1">
      <c r="A217" s="2" t="s">
        <v>5</v>
      </c>
      <c r="B217" s="2"/>
      <c r="C217" s="2" t="s">
        <v>309</v>
      </c>
      <c r="D217" s="8">
        <v>45163</v>
      </c>
      <c r="E217" s="8"/>
      <c r="F217" s="8">
        <v>45189</v>
      </c>
      <c r="G217" s="8">
        <v>45178</v>
      </c>
      <c r="H217" s="2" t="s">
        <v>220</v>
      </c>
    </row>
    <row r="218" spans="1:8" hidden="1">
      <c r="A218" s="2" t="s">
        <v>5</v>
      </c>
      <c r="B218" s="2"/>
      <c r="C218" s="2" t="s">
        <v>309</v>
      </c>
      <c r="D218" s="8">
        <v>45163</v>
      </c>
      <c r="E218" s="8"/>
      <c r="F218" s="8">
        <v>45189</v>
      </c>
      <c r="G218" s="8">
        <v>45178</v>
      </c>
      <c r="H218" s="2" t="s">
        <v>221</v>
      </c>
    </row>
    <row r="219" spans="1:8" hidden="1">
      <c r="A219" s="2" t="s">
        <v>5</v>
      </c>
      <c r="B219" s="2"/>
      <c r="C219" s="2" t="s">
        <v>309</v>
      </c>
      <c r="D219" s="8">
        <v>45163</v>
      </c>
      <c r="E219" s="8"/>
      <c r="F219" s="8">
        <v>45189</v>
      </c>
      <c r="G219" s="8">
        <v>45178</v>
      </c>
      <c r="H219" s="2" t="s">
        <v>222</v>
      </c>
    </row>
    <row r="220" spans="1:8" hidden="1">
      <c r="A220" s="2" t="s">
        <v>2</v>
      </c>
      <c r="B220" s="2"/>
      <c r="C220" s="2" t="s">
        <v>310</v>
      </c>
      <c r="D220" s="8">
        <v>45152</v>
      </c>
      <c r="E220" s="8"/>
      <c r="F220" s="8">
        <v>45158</v>
      </c>
      <c r="G220" s="8">
        <v>45171</v>
      </c>
      <c r="H220" s="2" t="s">
        <v>223</v>
      </c>
    </row>
    <row r="221" spans="1:8" hidden="1">
      <c r="A221" s="2" t="s">
        <v>4</v>
      </c>
      <c r="B221" s="2"/>
      <c r="C221" s="2" t="e">
        <v>#REF!</v>
      </c>
      <c r="D221" s="8">
        <v>45181</v>
      </c>
      <c r="E221" s="8"/>
      <c r="F221" s="8">
        <v>45210</v>
      </c>
      <c r="G221" s="8">
        <v>45196</v>
      </c>
      <c r="H221" s="2" t="s">
        <v>313</v>
      </c>
    </row>
    <row r="222" spans="1:8" hidden="1">
      <c r="A222" s="3" t="s">
        <v>4</v>
      </c>
      <c r="B222" s="3"/>
      <c r="C222" s="3" t="s">
        <v>298</v>
      </c>
      <c r="D222" s="9">
        <v>45076</v>
      </c>
      <c r="E222" s="9"/>
      <c r="F222" s="9">
        <v>45107</v>
      </c>
      <c r="G222" s="9">
        <v>45091</v>
      </c>
      <c r="H222" s="3" t="s">
        <v>224</v>
      </c>
    </row>
    <row r="223" spans="1:8" hidden="1">
      <c r="A223" s="2" t="s">
        <v>4</v>
      </c>
      <c r="B223" s="2"/>
      <c r="C223" s="2" t="s">
        <v>298</v>
      </c>
      <c r="D223" s="8">
        <v>45076</v>
      </c>
      <c r="E223" s="8"/>
      <c r="F223" s="8">
        <v>45107</v>
      </c>
      <c r="G223" s="8">
        <v>45091</v>
      </c>
      <c r="H223" s="2" t="s">
        <v>224</v>
      </c>
    </row>
    <row r="224" spans="1:8" hidden="1">
      <c r="A224" s="2" t="s">
        <v>4</v>
      </c>
      <c r="B224" s="2"/>
      <c r="C224" s="2" t="e">
        <v>#REF!</v>
      </c>
      <c r="D224" s="8">
        <v>45155</v>
      </c>
      <c r="E224" s="8"/>
      <c r="F224" s="8">
        <v>45189</v>
      </c>
      <c r="G224" s="8">
        <v>45170</v>
      </c>
      <c r="H224" s="2" t="s">
        <v>314</v>
      </c>
    </row>
    <row r="225" spans="1:8" hidden="1">
      <c r="A225" s="2" t="s">
        <v>5</v>
      </c>
      <c r="B225" s="2"/>
      <c r="C225" s="2" t="e">
        <v>#REF!</v>
      </c>
      <c r="D225" s="8">
        <v>45155</v>
      </c>
      <c r="E225" s="8"/>
      <c r="F225" s="8">
        <v>45189</v>
      </c>
      <c r="G225" s="8">
        <v>45170</v>
      </c>
      <c r="H225" s="2" t="s">
        <v>315</v>
      </c>
    </row>
    <row r="226" spans="1:8" hidden="1">
      <c r="A226" s="2" t="s">
        <v>5</v>
      </c>
      <c r="B226" s="2"/>
      <c r="C226" s="2" t="e">
        <v>#REF!</v>
      </c>
      <c r="D226" s="8">
        <v>45155</v>
      </c>
      <c r="E226" s="8"/>
      <c r="F226" s="8">
        <v>45189</v>
      </c>
      <c r="G226" s="8">
        <v>45170</v>
      </c>
      <c r="H226" s="2" t="s">
        <v>316</v>
      </c>
    </row>
    <row r="227" spans="1:8" hidden="1">
      <c r="A227" s="2" t="s">
        <v>5</v>
      </c>
      <c r="B227" s="2"/>
      <c r="C227" s="2" t="s">
        <v>311</v>
      </c>
      <c r="D227" s="8">
        <v>45155</v>
      </c>
      <c r="E227" s="8"/>
      <c r="F227" s="8">
        <v>45189</v>
      </c>
      <c r="G227" s="8">
        <v>45170</v>
      </c>
      <c r="H227" s="2" t="s">
        <v>225</v>
      </c>
    </row>
    <row r="228" spans="1:8" hidden="1">
      <c r="A228" s="2" t="s">
        <v>5</v>
      </c>
      <c r="B228" s="2"/>
      <c r="C228" s="2" t="s">
        <v>311</v>
      </c>
      <c r="D228" s="8">
        <v>45155</v>
      </c>
      <c r="E228" s="8"/>
      <c r="F228" s="8">
        <v>45189</v>
      </c>
      <c r="G228" s="8">
        <v>45170</v>
      </c>
      <c r="H228" s="2" t="s">
        <v>225</v>
      </c>
    </row>
    <row r="229" spans="1:8" hidden="1">
      <c r="A229" s="2" t="s">
        <v>4</v>
      </c>
      <c r="B229" s="2"/>
      <c r="C229" s="2" t="e">
        <v>#REF!</v>
      </c>
      <c r="D229" s="8">
        <v>45155</v>
      </c>
      <c r="E229" s="8"/>
      <c r="F229" s="8">
        <v>45189</v>
      </c>
      <c r="G229" s="8">
        <v>45170</v>
      </c>
      <c r="H229" s="2" t="s">
        <v>226</v>
      </c>
    </row>
    <row r="230" spans="1:8" hidden="1">
      <c r="A230" s="2" t="s">
        <v>4</v>
      </c>
      <c r="B230" s="2"/>
      <c r="C230" s="2" t="e">
        <v>#REF!</v>
      </c>
      <c r="D230" s="8">
        <v>45155</v>
      </c>
      <c r="E230" s="8"/>
      <c r="F230" s="8">
        <v>45189</v>
      </c>
      <c r="G230" s="8">
        <v>45170</v>
      </c>
      <c r="H230" s="2" t="s">
        <v>226</v>
      </c>
    </row>
    <row r="231" spans="1:8" hidden="1">
      <c r="A231" s="2" t="s">
        <v>4</v>
      </c>
      <c r="B231" s="2"/>
      <c r="C231" s="2" t="e">
        <v>#REF!</v>
      </c>
      <c r="D231" s="8">
        <v>45155</v>
      </c>
      <c r="E231" s="8"/>
      <c r="F231" s="8">
        <v>45189</v>
      </c>
      <c r="G231" s="8">
        <v>45170</v>
      </c>
      <c r="H231" s="2" t="s">
        <v>226</v>
      </c>
    </row>
    <row r="232" spans="1:8" hidden="1">
      <c r="A232" s="2" t="s">
        <v>4</v>
      </c>
      <c r="B232" s="2"/>
      <c r="C232" s="2" t="e">
        <v>#REF!</v>
      </c>
      <c r="D232" s="8">
        <v>45155</v>
      </c>
      <c r="E232" s="8"/>
      <c r="F232" s="8">
        <v>45189</v>
      </c>
      <c r="G232" s="8">
        <v>45170</v>
      </c>
      <c r="H232" s="2" t="s">
        <v>226</v>
      </c>
    </row>
    <row r="233" spans="1:8" hidden="1">
      <c r="A233" s="2" t="s">
        <v>4</v>
      </c>
      <c r="B233" s="2"/>
      <c r="C233" s="2" t="e">
        <v>#REF!</v>
      </c>
      <c r="D233" s="8">
        <v>45155</v>
      </c>
      <c r="E233" s="8"/>
      <c r="F233" s="8">
        <v>45189</v>
      </c>
      <c r="G233" s="8">
        <v>45170</v>
      </c>
      <c r="H233" s="2" t="s">
        <v>226</v>
      </c>
    </row>
    <row r="234" spans="1:8" hidden="1">
      <c r="A234" s="2" t="s">
        <v>4</v>
      </c>
      <c r="B234" s="2"/>
      <c r="C234" s="2" t="e">
        <v>#REF!</v>
      </c>
      <c r="D234" s="8">
        <v>45155</v>
      </c>
      <c r="E234" s="8"/>
      <c r="F234" s="8">
        <v>45189</v>
      </c>
      <c r="G234" s="8">
        <v>45170</v>
      </c>
      <c r="H234" s="2" t="s">
        <v>226</v>
      </c>
    </row>
    <row r="235" spans="1:8" hidden="1">
      <c r="A235" s="2" t="s">
        <v>4</v>
      </c>
      <c r="B235" s="2"/>
      <c r="C235" s="2" t="e">
        <v>#REF!</v>
      </c>
      <c r="D235" s="8">
        <v>45155</v>
      </c>
      <c r="E235" s="8"/>
      <c r="F235" s="8">
        <v>45189</v>
      </c>
      <c r="G235" s="8">
        <v>45170</v>
      </c>
      <c r="H235" s="2" t="s">
        <v>226</v>
      </c>
    </row>
    <row r="236" spans="1:8" hidden="1">
      <c r="A236" s="2" t="s">
        <v>4</v>
      </c>
      <c r="B236" s="2"/>
      <c r="C236" s="2" t="e">
        <v>#REF!</v>
      </c>
      <c r="D236" s="8">
        <v>45155</v>
      </c>
      <c r="E236" s="8"/>
      <c r="F236" s="8">
        <v>45209</v>
      </c>
      <c r="G236" s="8">
        <v>45170</v>
      </c>
      <c r="H236" s="2" t="s">
        <v>317</v>
      </c>
    </row>
    <row r="237" spans="1:8" hidden="1">
      <c r="A237" s="2" t="s">
        <v>5</v>
      </c>
      <c r="B237" s="2"/>
      <c r="C237" s="2" t="e">
        <v>#REF!</v>
      </c>
      <c r="D237" s="8">
        <v>45155</v>
      </c>
      <c r="E237" s="8"/>
      <c r="F237" s="8">
        <v>45189</v>
      </c>
      <c r="G237" s="8">
        <v>45170</v>
      </c>
      <c r="H237" s="2" t="s">
        <v>318</v>
      </c>
    </row>
    <row r="238" spans="1:8" hidden="1">
      <c r="A238" s="2" t="s">
        <v>5</v>
      </c>
      <c r="B238" s="2"/>
      <c r="C238" s="2" t="e">
        <v>#REF!</v>
      </c>
      <c r="D238" s="8">
        <v>45155</v>
      </c>
      <c r="E238" s="8"/>
      <c r="F238" s="8">
        <v>45189</v>
      </c>
      <c r="G238" s="8">
        <v>45170</v>
      </c>
      <c r="H238" s="2" t="s">
        <v>319</v>
      </c>
    </row>
    <row r="239" spans="1:8" hidden="1">
      <c r="A239" s="2" t="s">
        <v>5</v>
      </c>
      <c r="B239" s="2"/>
      <c r="C239" s="2" t="e">
        <v>#REF!</v>
      </c>
      <c r="D239" s="8">
        <v>45155</v>
      </c>
      <c r="E239" s="8"/>
      <c r="F239" s="8">
        <v>45189</v>
      </c>
      <c r="G239" s="8">
        <v>45170</v>
      </c>
      <c r="H239" s="2" t="s">
        <v>320</v>
      </c>
    </row>
    <row r="240" spans="1:8" hidden="1">
      <c r="A240" s="2" t="s">
        <v>5</v>
      </c>
      <c r="B240" s="2"/>
      <c r="C240" s="2" t="s">
        <v>311</v>
      </c>
      <c r="D240" s="8">
        <v>45155</v>
      </c>
      <c r="E240" s="8"/>
      <c r="F240" s="8">
        <v>45189</v>
      </c>
      <c r="G240" s="8">
        <v>45170</v>
      </c>
      <c r="H240" s="2" t="s">
        <v>227</v>
      </c>
    </row>
    <row r="241" spans="1:8" hidden="1">
      <c r="A241" s="2" t="s">
        <v>5</v>
      </c>
      <c r="B241" s="2"/>
      <c r="C241" s="2" t="s">
        <v>311</v>
      </c>
      <c r="D241" s="8">
        <v>45155</v>
      </c>
      <c r="E241" s="8"/>
      <c r="F241" s="8">
        <v>45189</v>
      </c>
      <c r="G241" s="8">
        <v>45170</v>
      </c>
      <c r="H241" s="2" t="s">
        <v>227</v>
      </c>
    </row>
    <row r="242" spans="1:8" hidden="1">
      <c r="A242" s="2" t="s">
        <v>4</v>
      </c>
      <c r="B242" s="2"/>
      <c r="C242" s="2" t="e">
        <v>#REF!</v>
      </c>
      <c r="D242" s="8">
        <v>45155</v>
      </c>
      <c r="E242" s="8"/>
      <c r="F242" s="8">
        <v>45189</v>
      </c>
      <c r="G242" s="8">
        <v>45170</v>
      </c>
      <c r="H242" s="2" t="s">
        <v>228</v>
      </c>
    </row>
    <row r="243" spans="1:8" hidden="1">
      <c r="A243" s="2" t="s">
        <v>4</v>
      </c>
      <c r="B243" s="2"/>
      <c r="C243" s="2" t="e">
        <v>#REF!</v>
      </c>
      <c r="D243" s="8">
        <v>45155</v>
      </c>
      <c r="E243" s="8"/>
      <c r="F243" s="8">
        <v>45189</v>
      </c>
      <c r="G243" s="8">
        <v>45170</v>
      </c>
      <c r="H243" s="2" t="s">
        <v>228</v>
      </c>
    </row>
    <row r="244" spans="1:8" hidden="1">
      <c r="A244" s="2" t="s">
        <v>4</v>
      </c>
      <c r="B244" s="2"/>
      <c r="C244" s="2" t="e">
        <v>#REF!</v>
      </c>
      <c r="D244" s="8">
        <v>45155</v>
      </c>
      <c r="E244" s="8"/>
      <c r="F244" s="8">
        <v>45189</v>
      </c>
      <c r="G244" s="8">
        <v>45170</v>
      </c>
      <c r="H244" s="2" t="s">
        <v>228</v>
      </c>
    </row>
    <row r="245" spans="1:8" hidden="1">
      <c r="A245" s="2" t="s">
        <v>4</v>
      </c>
      <c r="B245" s="2"/>
      <c r="C245" s="2" t="e">
        <v>#REF!</v>
      </c>
      <c r="D245" s="8">
        <v>45155</v>
      </c>
      <c r="E245" s="8"/>
      <c r="F245" s="8">
        <v>45189</v>
      </c>
      <c r="G245" s="8">
        <v>45170</v>
      </c>
      <c r="H245" s="2" t="s">
        <v>228</v>
      </c>
    </row>
    <row r="246" spans="1:8" hidden="1">
      <c r="A246" s="2" t="s">
        <v>4</v>
      </c>
      <c r="B246" s="2"/>
      <c r="C246" s="2" t="e">
        <v>#REF!</v>
      </c>
      <c r="D246" s="8">
        <v>45155</v>
      </c>
      <c r="E246" s="8"/>
      <c r="F246" s="8">
        <v>45189</v>
      </c>
      <c r="G246" s="8">
        <v>45170</v>
      </c>
      <c r="H246" s="2" t="s">
        <v>228</v>
      </c>
    </row>
    <row r="247" spans="1:8" hidden="1">
      <c r="A247" s="2" t="s">
        <v>4</v>
      </c>
      <c r="B247" s="2"/>
      <c r="C247" s="2" t="e">
        <v>#REF!</v>
      </c>
      <c r="D247" s="8">
        <v>45155</v>
      </c>
      <c r="E247" s="8"/>
      <c r="F247" s="8">
        <v>45189</v>
      </c>
      <c r="G247" s="8">
        <v>45170</v>
      </c>
      <c r="H247" s="2" t="s">
        <v>228</v>
      </c>
    </row>
    <row r="248" spans="1:8" hidden="1">
      <c r="A248" s="2" t="s">
        <v>4</v>
      </c>
      <c r="B248" s="2"/>
      <c r="C248" s="2" t="e">
        <v>#REF!</v>
      </c>
      <c r="D248" s="8">
        <v>45155</v>
      </c>
      <c r="E248" s="8"/>
      <c r="F248" s="8">
        <v>45209</v>
      </c>
      <c r="G248" s="8">
        <v>45170</v>
      </c>
      <c r="H248" s="2" t="s">
        <v>321</v>
      </c>
    </row>
    <row r="249" spans="1:8" hidden="1">
      <c r="A249" s="2" t="s">
        <v>5</v>
      </c>
      <c r="B249" s="2"/>
      <c r="C249" s="2" t="e">
        <v>#REF!</v>
      </c>
      <c r="D249" s="8">
        <v>45167</v>
      </c>
      <c r="E249" s="8"/>
      <c r="F249" s="8">
        <v>45194</v>
      </c>
      <c r="G249" s="8">
        <v>45182</v>
      </c>
      <c r="H249" s="2" t="s">
        <v>229</v>
      </c>
    </row>
    <row r="250" spans="1:8" hidden="1">
      <c r="A250" s="2" t="s">
        <v>5</v>
      </c>
      <c r="B250" s="2"/>
      <c r="C250" s="2" t="e">
        <v>#REF!</v>
      </c>
      <c r="D250" s="8">
        <v>45167</v>
      </c>
      <c r="E250" s="8"/>
      <c r="F250" s="8">
        <v>45194</v>
      </c>
      <c r="G250" s="8">
        <v>45182</v>
      </c>
      <c r="H250" s="2" t="s">
        <v>230</v>
      </c>
    </row>
    <row r="251" spans="1:8" hidden="1">
      <c r="A251" s="2" t="s">
        <v>5</v>
      </c>
      <c r="B251" s="2"/>
      <c r="C251" s="2" t="e">
        <v>#REF!</v>
      </c>
      <c r="D251" s="8">
        <v>45167</v>
      </c>
      <c r="E251" s="8"/>
      <c r="F251" s="8">
        <v>45194</v>
      </c>
      <c r="G251" s="8">
        <v>45182</v>
      </c>
      <c r="H251" s="2" t="s">
        <v>230</v>
      </c>
    </row>
    <row r="252" spans="1:8" hidden="1">
      <c r="A252" s="2" t="s">
        <v>5</v>
      </c>
      <c r="B252" s="2"/>
      <c r="C252" s="2" t="e">
        <v>#REF!</v>
      </c>
      <c r="D252" s="8">
        <v>45167</v>
      </c>
      <c r="E252" s="8"/>
      <c r="F252" s="8">
        <v>45194</v>
      </c>
      <c r="G252" s="8">
        <v>45182</v>
      </c>
      <c r="H252" s="2" t="s">
        <v>230</v>
      </c>
    </row>
    <row r="253" spans="1:8" hidden="1">
      <c r="A253" s="2" t="s">
        <v>5</v>
      </c>
      <c r="B253" s="2"/>
      <c r="C253" s="2" t="e">
        <v>#REF!</v>
      </c>
      <c r="D253" s="8">
        <v>45153</v>
      </c>
      <c r="E253" s="8"/>
      <c r="F253" s="8">
        <v>45199</v>
      </c>
      <c r="G253" s="8">
        <v>45168</v>
      </c>
      <c r="H253" s="2" t="s">
        <v>322</v>
      </c>
    </row>
    <row r="254" spans="1:8" hidden="1">
      <c r="A254" s="2" t="s">
        <v>5</v>
      </c>
      <c r="B254" s="2"/>
      <c r="C254" s="2" t="e">
        <v>#REF!</v>
      </c>
      <c r="D254" s="8">
        <v>45153</v>
      </c>
      <c r="E254" s="8"/>
      <c r="F254" s="8">
        <v>45199</v>
      </c>
      <c r="G254" s="8">
        <v>45168</v>
      </c>
      <c r="H254" s="2" t="s">
        <v>323</v>
      </c>
    </row>
    <row r="255" spans="1:8" hidden="1">
      <c r="A255" s="2" t="s">
        <v>5</v>
      </c>
      <c r="B255" s="2"/>
      <c r="C255" s="2" t="e">
        <v>#REF!</v>
      </c>
      <c r="D255" s="8">
        <v>45153</v>
      </c>
      <c r="E255" s="8"/>
      <c r="F255" s="8">
        <v>45199</v>
      </c>
      <c r="G255" s="8">
        <v>45168</v>
      </c>
      <c r="H255" s="2" t="s">
        <v>231</v>
      </c>
    </row>
    <row r="256" spans="1:8" hidden="1">
      <c r="A256" s="2" t="s">
        <v>5</v>
      </c>
      <c r="B256" s="2"/>
      <c r="C256" s="2" t="e">
        <v>#REF!</v>
      </c>
      <c r="D256" s="8">
        <v>45153</v>
      </c>
      <c r="E256" s="8"/>
      <c r="F256" s="8">
        <v>45199</v>
      </c>
      <c r="G256" s="8">
        <v>45168</v>
      </c>
      <c r="H256" s="2" t="s">
        <v>231</v>
      </c>
    </row>
    <row r="257" spans="1:8" hidden="1">
      <c r="A257" s="2" t="s">
        <v>5</v>
      </c>
      <c r="B257" s="2"/>
      <c r="C257" s="2" t="e">
        <v>#REF!</v>
      </c>
      <c r="D257" s="8">
        <v>45153</v>
      </c>
      <c r="E257" s="8"/>
      <c r="F257" s="8">
        <v>45199</v>
      </c>
      <c r="G257" s="8">
        <v>45168</v>
      </c>
      <c r="H257" s="2" t="s">
        <v>231</v>
      </c>
    </row>
    <row r="258" spans="1:8" hidden="1">
      <c r="A258" s="2" t="s">
        <v>5</v>
      </c>
      <c r="B258" s="2"/>
      <c r="C258" s="2" t="e">
        <v>#REF!</v>
      </c>
      <c r="D258" s="8">
        <v>45167</v>
      </c>
      <c r="E258" s="8"/>
      <c r="F258" s="8">
        <v>45194</v>
      </c>
      <c r="G258" s="8">
        <v>45182</v>
      </c>
      <c r="H258" s="2" t="s">
        <v>232</v>
      </c>
    </row>
    <row r="259" spans="1:8" hidden="1">
      <c r="A259" s="2" t="s">
        <v>4</v>
      </c>
      <c r="B259" s="2"/>
      <c r="C259" s="2" t="e">
        <v>#REF!</v>
      </c>
      <c r="D259" s="8">
        <v>45153</v>
      </c>
      <c r="E259" s="8"/>
      <c r="F259" s="8">
        <v>45159</v>
      </c>
      <c r="G259" s="8">
        <v>45168</v>
      </c>
      <c r="H259" s="2" t="s">
        <v>233</v>
      </c>
    </row>
    <row r="260" spans="1:8" hidden="1">
      <c r="A260" s="2" t="s">
        <v>4</v>
      </c>
      <c r="B260" s="2"/>
      <c r="C260" s="2" t="e">
        <v>#REF!</v>
      </c>
      <c r="D260" s="8">
        <v>45153</v>
      </c>
      <c r="E260" s="8"/>
      <c r="F260" s="8">
        <v>45159</v>
      </c>
      <c r="G260" s="8">
        <v>45168</v>
      </c>
      <c r="H260" s="2" t="s">
        <v>233</v>
      </c>
    </row>
    <row r="261" spans="1:8" hidden="1">
      <c r="A261" s="2" t="s">
        <v>2</v>
      </c>
      <c r="B261" s="2"/>
      <c r="C261" s="2" t="e">
        <v>#REF!</v>
      </c>
      <c r="D261" s="8">
        <v>45159</v>
      </c>
      <c r="E261" s="8"/>
      <c r="F261" s="8">
        <v>45199</v>
      </c>
      <c r="G261" s="8">
        <v>45174</v>
      </c>
      <c r="H261" s="2" t="s">
        <v>324</v>
      </c>
    </row>
    <row r="262" spans="1:8" hidden="1">
      <c r="A262" s="2" t="s">
        <v>4</v>
      </c>
      <c r="B262" s="2"/>
      <c r="C262" s="2" t="e">
        <v>#REF!</v>
      </c>
      <c r="D262" s="8">
        <v>45159</v>
      </c>
      <c r="E262" s="8"/>
      <c r="F262" s="8">
        <v>45184</v>
      </c>
      <c r="G262" s="8">
        <v>45174</v>
      </c>
      <c r="H262" s="2" t="s">
        <v>325</v>
      </c>
    </row>
    <row r="263" spans="1:8" hidden="1">
      <c r="A263" s="2" t="s">
        <v>4</v>
      </c>
      <c r="B263" s="2"/>
      <c r="C263" s="2" t="e">
        <v>#REF!</v>
      </c>
      <c r="D263" s="8">
        <v>45159</v>
      </c>
      <c r="E263" s="8"/>
      <c r="F263" s="8">
        <v>45184</v>
      </c>
      <c r="G263" s="8">
        <v>45174</v>
      </c>
      <c r="H263" s="2" t="s">
        <v>326</v>
      </c>
    </row>
    <row r="264" spans="1:8" hidden="1">
      <c r="A264" s="2" t="s">
        <v>4</v>
      </c>
      <c r="B264" s="2"/>
      <c r="C264" s="2" t="e">
        <v>#REF!</v>
      </c>
      <c r="D264" s="8">
        <v>45159</v>
      </c>
      <c r="E264" s="8"/>
      <c r="F264" s="8">
        <v>45184</v>
      </c>
      <c r="G264" s="8">
        <v>45174</v>
      </c>
      <c r="H264" s="2" t="s">
        <v>327</v>
      </c>
    </row>
    <row r="265" spans="1:8" hidden="1">
      <c r="A265" s="2" t="s">
        <v>4</v>
      </c>
      <c r="B265" s="2"/>
      <c r="C265" s="2" t="e">
        <v>#REF!</v>
      </c>
      <c r="D265" s="8">
        <v>45159</v>
      </c>
      <c r="E265" s="8"/>
      <c r="F265" s="8">
        <v>45184</v>
      </c>
      <c r="G265" s="8">
        <v>45174</v>
      </c>
      <c r="H265" s="2" t="s">
        <v>328</v>
      </c>
    </row>
    <row r="266" spans="1:8" hidden="1">
      <c r="A266" s="2" t="s">
        <v>4</v>
      </c>
      <c r="B266" s="2"/>
      <c r="C266" s="2" t="e">
        <v>#REF!</v>
      </c>
      <c r="D266" s="8">
        <v>45159</v>
      </c>
      <c r="E266" s="8"/>
      <c r="F266" s="8">
        <v>45184</v>
      </c>
      <c r="G266" s="8">
        <v>45174</v>
      </c>
      <c r="H266" s="2" t="s">
        <v>328</v>
      </c>
    </row>
    <row r="267" spans="1:8" hidden="1">
      <c r="A267" s="2" t="s">
        <v>4</v>
      </c>
      <c r="B267" s="2"/>
      <c r="C267" s="2" t="e">
        <v>#REF!</v>
      </c>
      <c r="D267" s="8">
        <v>45159</v>
      </c>
      <c r="E267" s="8"/>
      <c r="F267" s="8">
        <v>45184</v>
      </c>
      <c r="G267" s="8">
        <v>45174</v>
      </c>
      <c r="H267" s="2" t="s">
        <v>328</v>
      </c>
    </row>
    <row r="268" spans="1:8" hidden="1">
      <c r="A268" s="2" t="s">
        <v>4</v>
      </c>
      <c r="B268" s="2"/>
      <c r="C268" s="2" t="e">
        <v>#REF!</v>
      </c>
      <c r="D268" s="8">
        <v>45159</v>
      </c>
      <c r="E268" s="8"/>
      <c r="F268" s="8">
        <v>45184</v>
      </c>
      <c r="G268" s="8">
        <v>45174</v>
      </c>
      <c r="H268" s="2" t="s">
        <v>328</v>
      </c>
    </row>
    <row r="269" spans="1:8" hidden="1">
      <c r="A269" s="2" t="s">
        <v>4</v>
      </c>
      <c r="B269" s="2"/>
      <c r="C269" s="2" t="e">
        <v>#REF!</v>
      </c>
      <c r="D269" s="8">
        <v>45159</v>
      </c>
      <c r="E269" s="8"/>
      <c r="F269" s="8">
        <v>45184</v>
      </c>
      <c r="G269" s="8">
        <v>45174</v>
      </c>
      <c r="H269" s="2" t="s">
        <v>328</v>
      </c>
    </row>
    <row r="270" spans="1:8" hidden="1">
      <c r="A270" s="2" t="s">
        <v>4</v>
      </c>
      <c r="B270" s="2"/>
      <c r="C270" s="2" t="e">
        <v>#REF!</v>
      </c>
      <c r="D270" s="8">
        <v>45159</v>
      </c>
      <c r="E270" s="8"/>
      <c r="F270" s="8">
        <v>45184</v>
      </c>
      <c r="G270" s="8">
        <v>45174</v>
      </c>
      <c r="H270" s="2" t="s">
        <v>328</v>
      </c>
    </row>
    <row r="271" spans="1:8" hidden="1">
      <c r="A271" s="2" t="s">
        <v>4</v>
      </c>
      <c r="B271" s="2"/>
      <c r="C271" s="2" t="e">
        <v>#REF!</v>
      </c>
      <c r="D271" s="8">
        <v>45159</v>
      </c>
      <c r="E271" s="8"/>
      <c r="F271" s="8">
        <v>45184</v>
      </c>
      <c r="G271" s="8">
        <v>45174</v>
      </c>
      <c r="H271" s="2" t="s">
        <v>328</v>
      </c>
    </row>
    <row r="272" spans="1:8" hidden="1">
      <c r="A272" s="2" t="s">
        <v>4</v>
      </c>
      <c r="B272" s="2"/>
      <c r="C272" s="2" t="e">
        <v>#REF!</v>
      </c>
      <c r="D272" s="8">
        <v>45167</v>
      </c>
      <c r="E272" s="8"/>
      <c r="F272" s="8">
        <v>45194</v>
      </c>
      <c r="G272" s="8">
        <v>45182</v>
      </c>
      <c r="H272" s="2" t="s">
        <v>234</v>
      </c>
    </row>
    <row r="273" spans="1:8" hidden="1">
      <c r="A273" s="2" t="s">
        <v>4</v>
      </c>
      <c r="B273" s="2"/>
      <c r="C273" s="2" t="e">
        <v>#REF!</v>
      </c>
      <c r="D273" s="8">
        <v>45167</v>
      </c>
      <c r="E273" s="8"/>
      <c r="F273" s="8">
        <v>45194</v>
      </c>
      <c r="G273" s="8">
        <v>45182</v>
      </c>
      <c r="H273" s="2" t="s">
        <v>235</v>
      </c>
    </row>
    <row r="274" spans="1:8" hidden="1">
      <c r="A274" s="2" t="s">
        <v>4</v>
      </c>
      <c r="B274" s="2"/>
      <c r="C274" s="2" t="e">
        <v>#REF!</v>
      </c>
      <c r="D274" s="8">
        <v>45167</v>
      </c>
      <c r="E274" s="8"/>
      <c r="F274" s="8">
        <v>45194</v>
      </c>
      <c r="G274" s="8">
        <v>45182</v>
      </c>
      <c r="H274" s="2" t="s">
        <v>235</v>
      </c>
    </row>
    <row r="275" spans="1:8" hidden="1">
      <c r="A275" s="2" t="s">
        <v>4</v>
      </c>
      <c r="B275" s="2"/>
      <c r="C275" s="2" t="e">
        <v>#REF!</v>
      </c>
      <c r="D275" s="8">
        <v>45167</v>
      </c>
      <c r="E275" s="8"/>
      <c r="F275" s="8">
        <v>45194</v>
      </c>
      <c r="G275" s="8">
        <v>45182</v>
      </c>
      <c r="H275" s="2" t="s">
        <v>235</v>
      </c>
    </row>
    <row r="276" spans="1:8" hidden="1">
      <c r="A276" s="2" t="s">
        <v>4</v>
      </c>
      <c r="B276" s="2"/>
      <c r="C276" s="2" t="e">
        <v>#REF!</v>
      </c>
      <c r="D276" s="8">
        <v>45167</v>
      </c>
      <c r="E276" s="8"/>
      <c r="F276" s="8">
        <v>45194</v>
      </c>
      <c r="G276" s="8">
        <v>45182</v>
      </c>
      <c r="H276" s="2" t="s">
        <v>235</v>
      </c>
    </row>
    <row r="277" spans="1:8" hidden="1">
      <c r="A277" s="2" t="s">
        <v>4</v>
      </c>
      <c r="B277" s="2"/>
      <c r="C277" s="2" t="e">
        <v>#REF!</v>
      </c>
      <c r="D277" s="8">
        <v>45167</v>
      </c>
      <c r="E277" s="8"/>
      <c r="F277" s="8">
        <v>45194</v>
      </c>
      <c r="G277" s="8">
        <v>45182</v>
      </c>
      <c r="H277" s="2" t="s">
        <v>235</v>
      </c>
    </row>
    <row r="278" spans="1:8" hidden="1">
      <c r="A278" s="2" t="s">
        <v>4</v>
      </c>
      <c r="B278" s="2"/>
      <c r="C278" s="2" t="e">
        <v>#REF!</v>
      </c>
      <c r="D278" s="8">
        <v>45167</v>
      </c>
      <c r="E278" s="8"/>
      <c r="F278" s="8">
        <v>45194</v>
      </c>
      <c r="G278" s="8">
        <v>45182</v>
      </c>
      <c r="H278" s="2" t="s">
        <v>235</v>
      </c>
    </row>
    <row r="279" spans="1:8" hidden="1">
      <c r="A279" s="2" t="s">
        <v>4</v>
      </c>
      <c r="B279" s="2"/>
      <c r="C279" s="2" t="e">
        <v>#REF!</v>
      </c>
      <c r="D279" s="8">
        <v>45167</v>
      </c>
      <c r="E279" s="8"/>
      <c r="F279" s="8">
        <v>45194</v>
      </c>
      <c r="G279" s="8">
        <v>45182</v>
      </c>
      <c r="H279" s="2" t="s">
        <v>235</v>
      </c>
    </row>
    <row r="280" spans="1:8" hidden="1">
      <c r="A280" s="2" t="s">
        <v>4</v>
      </c>
      <c r="B280" s="2"/>
      <c r="C280" s="2" t="e">
        <v>#REF!</v>
      </c>
      <c r="D280" s="8">
        <v>45167</v>
      </c>
      <c r="E280" s="8"/>
      <c r="F280" s="8">
        <v>45194</v>
      </c>
      <c r="G280" s="8">
        <v>45182</v>
      </c>
      <c r="H280" s="2" t="s">
        <v>235</v>
      </c>
    </row>
    <row r="281" spans="1:8" hidden="1">
      <c r="A281" s="2" t="s">
        <v>4</v>
      </c>
      <c r="B281" s="2"/>
      <c r="C281" s="2" t="e">
        <v>#REF!</v>
      </c>
      <c r="D281" s="8">
        <v>45167</v>
      </c>
      <c r="E281" s="8"/>
      <c r="F281" s="8">
        <v>45194</v>
      </c>
      <c r="G281" s="8">
        <v>45182</v>
      </c>
      <c r="H281" s="2" t="s">
        <v>235</v>
      </c>
    </row>
    <row r="282" spans="1:8" hidden="1">
      <c r="A282" s="2" t="s">
        <v>4</v>
      </c>
      <c r="B282" s="2"/>
      <c r="C282" s="2" t="e">
        <v>#REF!</v>
      </c>
      <c r="D282" s="8">
        <v>45167</v>
      </c>
      <c r="E282" s="8"/>
      <c r="F282" s="8">
        <v>45194</v>
      </c>
      <c r="G282" s="8">
        <v>45182</v>
      </c>
      <c r="H282" s="2" t="s">
        <v>235</v>
      </c>
    </row>
    <row r="283" spans="1:8" hidden="1">
      <c r="A283" s="2" t="s">
        <v>4</v>
      </c>
      <c r="B283" s="2"/>
      <c r="C283" s="2" t="e">
        <v>#REF!</v>
      </c>
      <c r="D283" s="8">
        <v>45167</v>
      </c>
      <c r="E283" s="8"/>
      <c r="F283" s="8">
        <v>45194</v>
      </c>
      <c r="G283" s="8">
        <v>45182</v>
      </c>
      <c r="H283" s="2" t="s">
        <v>235</v>
      </c>
    </row>
    <row r="284" spans="1:8" hidden="1">
      <c r="A284" s="2" t="s">
        <v>4</v>
      </c>
      <c r="B284" s="2"/>
      <c r="C284" s="2" t="e">
        <v>#REF!</v>
      </c>
      <c r="D284" s="8">
        <v>45167</v>
      </c>
      <c r="E284" s="8"/>
      <c r="F284" s="8">
        <v>45194</v>
      </c>
      <c r="G284" s="8">
        <v>45182</v>
      </c>
      <c r="H284" s="2" t="s">
        <v>235</v>
      </c>
    </row>
    <row r="285" spans="1:8" hidden="1">
      <c r="A285" s="2" t="s">
        <v>5</v>
      </c>
      <c r="B285" s="2"/>
      <c r="C285" s="2" t="e">
        <v>#REF!</v>
      </c>
      <c r="D285" s="8">
        <v>45167</v>
      </c>
      <c r="E285" s="8"/>
      <c r="F285" s="8">
        <v>45194</v>
      </c>
      <c r="G285" s="8">
        <v>45182</v>
      </c>
      <c r="H285" s="2" t="s">
        <v>236</v>
      </c>
    </row>
    <row r="286" spans="1:8" hidden="1">
      <c r="A286" s="2" t="s">
        <v>4</v>
      </c>
      <c r="B286" s="2"/>
      <c r="C286" s="2" t="e">
        <v>#REF!</v>
      </c>
      <c r="D286" s="8">
        <v>45167</v>
      </c>
      <c r="E286" s="8"/>
      <c r="F286" s="8">
        <v>45194</v>
      </c>
      <c r="G286" s="8">
        <v>45182</v>
      </c>
      <c r="H286" s="2" t="s">
        <v>237</v>
      </c>
    </row>
    <row r="287" spans="1:8" hidden="1">
      <c r="A287" s="2" t="s">
        <v>4</v>
      </c>
      <c r="B287" s="2"/>
      <c r="C287" s="2" t="e">
        <v>#REF!</v>
      </c>
      <c r="D287" s="8">
        <v>45167</v>
      </c>
      <c r="E287" s="8"/>
      <c r="F287" s="8">
        <v>45194</v>
      </c>
      <c r="G287" s="8">
        <v>45182</v>
      </c>
      <c r="H287" s="2" t="s">
        <v>237</v>
      </c>
    </row>
    <row r="288" spans="1:8" hidden="1">
      <c r="A288" s="2" t="s">
        <v>4</v>
      </c>
      <c r="B288" s="2"/>
      <c r="C288" s="2" t="e">
        <v>#REF!</v>
      </c>
      <c r="D288" s="8">
        <v>45167</v>
      </c>
      <c r="E288" s="8"/>
      <c r="F288" s="8">
        <v>45194</v>
      </c>
      <c r="G288" s="8">
        <v>45182</v>
      </c>
      <c r="H288" s="2" t="s">
        <v>237</v>
      </c>
    </row>
    <row r="289" spans="1:8" hidden="1">
      <c r="A289" s="2" t="s">
        <v>4</v>
      </c>
      <c r="B289" s="2"/>
      <c r="C289" s="2" t="e">
        <v>#REF!</v>
      </c>
      <c r="D289" s="8">
        <v>45167</v>
      </c>
      <c r="E289" s="8"/>
      <c r="F289" s="8">
        <v>45194</v>
      </c>
      <c r="G289" s="8">
        <v>45182</v>
      </c>
      <c r="H289" s="2" t="s">
        <v>237</v>
      </c>
    </row>
    <row r="290" spans="1:8" hidden="1">
      <c r="A290" s="2" t="s">
        <v>4</v>
      </c>
      <c r="B290" s="2"/>
      <c r="C290" s="2" t="e">
        <v>#REF!</v>
      </c>
      <c r="D290" s="8">
        <v>45167</v>
      </c>
      <c r="E290" s="8"/>
      <c r="F290" s="8">
        <v>45194</v>
      </c>
      <c r="G290" s="8">
        <v>45182</v>
      </c>
      <c r="H290" s="2" t="s">
        <v>237</v>
      </c>
    </row>
    <row r="291" spans="1:8" hidden="1">
      <c r="A291" s="2" t="s">
        <v>4</v>
      </c>
      <c r="B291" s="2"/>
      <c r="C291" s="2" t="e">
        <v>#REF!</v>
      </c>
      <c r="D291" s="8">
        <v>45167</v>
      </c>
      <c r="E291" s="8"/>
      <c r="F291" s="8">
        <v>45194</v>
      </c>
      <c r="G291" s="8">
        <v>45182</v>
      </c>
      <c r="H291" s="2" t="s">
        <v>237</v>
      </c>
    </row>
    <row r="292" spans="1:8" hidden="1">
      <c r="A292" s="2" t="s">
        <v>4</v>
      </c>
      <c r="B292" s="2"/>
      <c r="C292" s="2" t="e">
        <v>#REF!</v>
      </c>
      <c r="D292" s="8">
        <v>45166</v>
      </c>
      <c r="E292" s="8"/>
      <c r="F292" s="8">
        <v>45198</v>
      </c>
      <c r="G292" s="8">
        <v>45181</v>
      </c>
      <c r="H292" s="2" t="s">
        <v>329</v>
      </c>
    </row>
    <row r="293" spans="1:8" hidden="1">
      <c r="A293" s="2" t="s">
        <v>4</v>
      </c>
      <c r="B293" s="2"/>
      <c r="C293" s="2" t="e">
        <v>#REF!</v>
      </c>
      <c r="D293" s="8">
        <v>45166</v>
      </c>
      <c r="E293" s="8"/>
      <c r="F293" s="8">
        <v>45197</v>
      </c>
      <c r="G293" s="8">
        <v>45181</v>
      </c>
      <c r="H293" s="2" t="s">
        <v>330</v>
      </c>
    </row>
    <row r="294" spans="1:8" hidden="1">
      <c r="A294" s="2" t="s">
        <v>4</v>
      </c>
      <c r="B294" s="2"/>
      <c r="C294" s="2" t="e">
        <v>#REF!</v>
      </c>
      <c r="D294" s="8">
        <v>45166</v>
      </c>
      <c r="E294" s="8"/>
      <c r="F294" s="8">
        <v>45197</v>
      </c>
      <c r="G294" s="8">
        <v>45181</v>
      </c>
      <c r="H294" s="2" t="s">
        <v>331</v>
      </c>
    </row>
    <row r="295" spans="1:8" hidden="1">
      <c r="A295" s="2" t="s">
        <v>4</v>
      </c>
      <c r="B295" s="2"/>
      <c r="C295" s="2" t="e">
        <v>#REF!</v>
      </c>
      <c r="D295" s="8">
        <v>45166</v>
      </c>
      <c r="E295" s="8"/>
      <c r="F295" s="8">
        <v>45197</v>
      </c>
      <c r="G295" s="8">
        <v>45181</v>
      </c>
      <c r="H295" s="2" t="s">
        <v>331</v>
      </c>
    </row>
    <row r="296" spans="1:8" hidden="1">
      <c r="A296" s="2" t="s">
        <v>4</v>
      </c>
      <c r="B296" s="2"/>
      <c r="C296" s="2" t="e">
        <v>#REF!</v>
      </c>
      <c r="D296" s="8">
        <v>45166</v>
      </c>
      <c r="E296" s="8"/>
      <c r="F296" s="8">
        <v>45197</v>
      </c>
      <c r="G296" s="8">
        <v>45181</v>
      </c>
      <c r="H296" s="2" t="s">
        <v>331</v>
      </c>
    </row>
    <row r="297" spans="1:8" hidden="1">
      <c r="A297" s="2" t="s">
        <v>4</v>
      </c>
      <c r="B297" s="2"/>
      <c r="C297" s="2" t="e">
        <v>#REF!</v>
      </c>
      <c r="D297" s="8">
        <v>45166</v>
      </c>
      <c r="E297" s="8"/>
      <c r="F297" s="8">
        <v>45197</v>
      </c>
      <c r="G297" s="8">
        <v>45181</v>
      </c>
      <c r="H297" s="2" t="s">
        <v>331</v>
      </c>
    </row>
    <row r="298" spans="1:8" hidden="1">
      <c r="A298" s="2" t="s">
        <v>5</v>
      </c>
      <c r="B298" s="2"/>
      <c r="C298" s="2" t="e">
        <v>#REF!</v>
      </c>
      <c r="D298" s="8">
        <v>45187</v>
      </c>
      <c r="E298" s="8"/>
      <c r="F298" s="8">
        <v>45193</v>
      </c>
      <c r="G298" s="8">
        <v>45202</v>
      </c>
      <c r="H298" s="2" t="s">
        <v>238</v>
      </c>
    </row>
    <row r="299" spans="1:8" hidden="1">
      <c r="A299" s="2" t="s">
        <v>5</v>
      </c>
      <c r="B299" s="2"/>
      <c r="C299" s="2" t="e">
        <v>#REF!</v>
      </c>
      <c r="D299" s="8">
        <v>45187</v>
      </c>
      <c r="E299" s="8"/>
      <c r="F299" s="8">
        <v>45193</v>
      </c>
      <c r="G299" s="8">
        <v>45202</v>
      </c>
      <c r="H299" s="2" t="s">
        <v>238</v>
      </c>
    </row>
    <row r="300" spans="1:8" hidden="1">
      <c r="A300" s="2" t="s">
        <v>5</v>
      </c>
      <c r="B300" s="2"/>
      <c r="C300" s="2" t="e">
        <v>#REF!</v>
      </c>
      <c r="D300" s="8">
        <v>45187</v>
      </c>
      <c r="E300" s="8"/>
      <c r="F300" s="8">
        <v>45193</v>
      </c>
      <c r="G300" s="8">
        <v>45202</v>
      </c>
      <c r="H300" s="2" t="s">
        <v>238</v>
      </c>
    </row>
    <row r="301" spans="1:8" hidden="1">
      <c r="A301" s="2" t="s">
        <v>5</v>
      </c>
      <c r="B301" s="2"/>
      <c r="C301" s="2" t="e">
        <v>#REF!</v>
      </c>
      <c r="D301" s="8">
        <v>45187</v>
      </c>
      <c r="E301" s="8"/>
      <c r="F301" s="8">
        <v>45193</v>
      </c>
      <c r="G301" s="8">
        <v>45202</v>
      </c>
      <c r="H301" s="2" t="s">
        <v>238</v>
      </c>
    </row>
    <row r="302" spans="1:8" hidden="1">
      <c r="A302" s="2" t="s">
        <v>5</v>
      </c>
      <c r="B302" s="2"/>
      <c r="C302" s="2" t="e">
        <v>#REF!</v>
      </c>
      <c r="D302" s="8">
        <v>45187</v>
      </c>
      <c r="E302" s="8"/>
      <c r="F302" s="8">
        <v>45193</v>
      </c>
      <c r="G302" s="8">
        <v>45202</v>
      </c>
      <c r="H302" s="2" t="s">
        <v>238</v>
      </c>
    </row>
    <row r="303" spans="1:8" hidden="1">
      <c r="A303" s="2" t="s">
        <v>5</v>
      </c>
      <c r="B303" s="2"/>
      <c r="C303" s="2" t="e">
        <v>#REF!</v>
      </c>
      <c r="D303" s="8">
        <v>45187</v>
      </c>
      <c r="E303" s="8"/>
      <c r="F303" s="8">
        <v>45193</v>
      </c>
      <c r="G303" s="8">
        <v>45202</v>
      </c>
      <c r="H303" s="2" t="s">
        <v>238</v>
      </c>
    </row>
    <row r="304" spans="1:8" hidden="1">
      <c r="A304" s="2" t="s">
        <v>5</v>
      </c>
      <c r="B304" s="2"/>
      <c r="C304" s="2" t="e">
        <v>#REF!</v>
      </c>
      <c r="D304" s="8">
        <v>45187</v>
      </c>
      <c r="E304" s="8"/>
      <c r="F304" s="8">
        <v>45193</v>
      </c>
      <c r="G304" s="8">
        <v>45202</v>
      </c>
      <c r="H304" s="2" t="s">
        <v>238</v>
      </c>
    </row>
    <row r="305" spans="1:8" hidden="1">
      <c r="A305" s="2" t="s">
        <v>5</v>
      </c>
      <c r="B305" s="2"/>
      <c r="C305" s="2" t="e">
        <v>#REF!</v>
      </c>
      <c r="D305" s="8">
        <v>45187</v>
      </c>
      <c r="E305" s="8"/>
      <c r="F305" s="8">
        <v>45193</v>
      </c>
      <c r="G305" s="8">
        <v>45202</v>
      </c>
      <c r="H305" s="2" t="s">
        <v>239</v>
      </c>
    </row>
    <row r="306" spans="1:8" hidden="1">
      <c r="A306" s="2" t="s">
        <v>5</v>
      </c>
      <c r="B306" s="2"/>
      <c r="C306" s="2" t="e">
        <v>#REF!</v>
      </c>
      <c r="D306" s="8">
        <v>45187</v>
      </c>
      <c r="E306" s="8"/>
      <c r="F306" s="8">
        <v>45193</v>
      </c>
      <c r="G306" s="8">
        <v>45202</v>
      </c>
      <c r="H306" s="2" t="s">
        <v>239</v>
      </c>
    </row>
    <row r="307" spans="1:8" hidden="1">
      <c r="A307" s="2" t="s">
        <v>5</v>
      </c>
      <c r="B307" s="2"/>
      <c r="C307" s="2" t="e">
        <v>#REF!</v>
      </c>
      <c r="D307" s="8">
        <v>45187</v>
      </c>
      <c r="E307" s="8"/>
      <c r="F307" s="8">
        <v>45193</v>
      </c>
      <c r="G307" s="8">
        <v>45202</v>
      </c>
      <c r="H307" s="2" t="s">
        <v>239</v>
      </c>
    </row>
    <row r="308" spans="1:8" hidden="1">
      <c r="A308" s="2" t="s">
        <v>5</v>
      </c>
      <c r="B308" s="2"/>
      <c r="C308" s="2" t="e">
        <v>#REF!</v>
      </c>
      <c r="D308" s="8">
        <v>45187</v>
      </c>
      <c r="E308" s="8"/>
      <c r="F308" s="8">
        <v>45193</v>
      </c>
      <c r="G308" s="8">
        <v>45202</v>
      </c>
      <c r="H308" s="2" t="s">
        <v>239</v>
      </c>
    </row>
    <row r="309" spans="1:8" hidden="1">
      <c r="A309" s="2" t="s">
        <v>5</v>
      </c>
      <c r="B309" s="2"/>
      <c r="C309" s="2" t="e">
        <v>#REF!</v>
      </c>
      <c r="D309" s="8">
        <v>45187</v>
      </c>
      <c r="E309" s="8"/>
      <c r="F309" s="8">
        <v>45193</v>
      </c>
      <c r="G309" s="8">
        <v>45202</v>
      </c>
      <c r="H309" s="2" t="s">
        <v>239</v>
      </c>
    </row>
    <row r="310" spans="1:8" hidden="1">
      <c r="A310" s="2" t="s">
        <v>5</v>
      </c>
      <c r="B310" s="2"/>
      <c r="C310" s="2" t="e">
        <v>#REF!</v>
      </c>
      <c r="D310" s="8">
        <v>45187</v>
      </c>
      <c r="E310" s="8"/>
      <c r="F310" s="8">
        <v>45193</v>
      </c>
      <c r="G310" s="8">
        <v>45202</v>
      </c>
      <c r="H310" s="2" t="s">
        <v>239</v>
      </c>
    </row>
    <row r="311" spans="1:8" hidden="1">
      <c r="A311" s="2" t="s">
        <v>5</v>
      </c>
      <c r="B311" s="2"/>
      <c r="C311" s="2" t="e">
        <v>#REF!</v>
      </c>
      <c r="D311" s="8">
        <v>45187</v>
      </c>
      <c r="E311" s="8"/>
      <c r="F311" s="8">
        <v>45193</v>
      </c>
      <c r="G311" s="8">
        <v>45202</v>
      </c>
      <c r="H311" s="2" t="s">
        <v>239</v>
      </c>
    </row>
    <row r="312" spans="1:8" hidden="1">
      <c r="A312" s="2" t="s">
        <v>2</v>
      </c>
      <c r="B312" s="2"/>
      <c r="C312" s="2" t="e">
        <v>#REF!</v>
      </c>
      <c r="D312" s="8">
        <v>45173</v>
      </c>
      <c r="E312" s="8"/>
      <c r="F312" s="8">
        <v>45199</v>
      </c>
      <c r="G312" s="8">
        <v>45188</v>
      </c>
      <c r="H312" s="2" t="s">
        <v>332</v>
      </c>
    </row>
    <row r="313" spans="1:8" hidden="1">
      <c r="A313" s="2" t="s">
        <v>2</v>
      </c>
      <c r="B313" s="2"/>
      <c r="C313" s="2" t="e">
        <v>#REF!</v>
      </c>
      <c r="D313" s="8">
        <v>45173</v>
      </c>
      <c r="E313" s="8"/>
      <c r="F313" s="8">
        <v>45199</v>
      </c>
      <c r="G313" s="8">
        <v>45188</v>
      </c>
      <c r="H313" s="2" t="s">
        <v>333</v>
      </c>
    </row>
    <row r="314" spans="1:8" hidden="1">
      <c r="A314" s="2" t="s">
        <v>2</v>
      </c>
      <c r="B314" s="2"/>
      <c r="C314" s="2" t="e">
        <v>#REF!</v>
      </c>
      <c r="D314" s="8">
        <v>45173</v>
      </c>
      <c r="E314" s="8"/>
      <c r="F314" s="8">
        <v>45199</v>
      </c>
      <c r="G314" s="8">
        <v>45188</v>
      </c>
      <c r="H314" s="2" t="s">
        <v>334</v>
      </c>
    </row>
    <row r="315" spans="1:8" hidden="1">
      <c r="A315" s="2" t="s">
        <v>2</v>
      </c>
      <c r="B315" s="2"/>
      <c r="C315" s="2" t="e">
        <v>#REF!</v>
      </c>
      <c r="D315" s="8">
        <v>45173</v>
      </c>
      <c r="E315" s="8"/>
      <c r="F315" s="8">
        <v>45199</v>
      </c>
      <c r="G315" s="8">
        <v>45188</v>
      </c>
      <c r="H315" s="2" t="s">
        <v>334</v>
      </c>
    </row>
    <row r="316" spans="1:8" hidden="1">
      <c r="A316" s="2" t="s">
        <v>2</v>
      </c>
      <c r="B316" s="2"/>
      <c r="C316" s="2" t="e">
        <v>#REF!</v>
      </c>
      <c r="D316" s="8">
        <v>45173</v>
      </c>
      <c r="E316" s="8"/>
      <c r="F316" s="8">
        <v>45199</v>
      </c>
      <c r="G316" s="8">
        <v>45188</v>
      </c>
      <c r="H316" s="2" t="s">
        <v>334</v>
      </c>
    </row>
    <row r="317" spans="1:8" hidden="1">
      <c r="A317" s="2" t="s">
        <v>2</v>
      </c>
      <c r="B317" s="2"/>
      <c r="C317" s="2" t="e">
        <v>#REF!</v>
      </c>
      <c r="D317" s="8">
        <v>45173</v>
      </c>
      <c r="E317" s="8"/>
      <c r="F317" s="8">
        <v>45199</v>
      </c>
      <c r="G317" s="8">
        <v>45188</v>
      </c>
      <c r="H317" s="2" t="s">
        <v>334</v>
      </c>
    </row>
    <row r="318" spans="1:8" hidden="1">
      <c r="A318" s="2" t="s">
        <v>2</v>
      </c>
      <c r="B318" s="2"/>
      <c r="C318" s="2" t="e">
        <v>#REF!</v>
      </c>
      <c r="D318" s="8">
        <v>45173</v>
      </c>
      <c r="E318" s="8"/>
      <c r="F318" s="8">
        <v>45199</v>
      </c>
      <c r="G318" s="8">
        <v>45188</v>
      </c>
      <c r="H318" s="2" t="s">
        <v>334</v>
      </c>
    </row>
    <row r="319" spans="1:8" hidden="1">
      <c r="A319" s="2" t="s">
        <v>2</v>
      </c>
      <c r="B319" s="2"/>
      <c r="C319" s="2" t="e">
        <v>#REF!</v>
      </c>
      <c r="D319" s="8">
        <v>45173</v>
      </c>
      <c r="E319" s="8"/>
      <c r="F319" s="8">
        <v>45184</v>
      </c>
      <c r="G319" s="8">
        <v>45188</v>
      </c>
      <c r="H319" s="2" t="s">
        <v>335</v>
      </c>
    </row>
    <row r="320" spans="1:8" hidden="1">
      <c r="A320" s="2" t="s">
        <v>2</v>
      </c>
      <c r="B320" s="2"/>
      <c r="C320" s="2" t="e">
        <v>#REF!</v>
      </c>
      <c r="D320" s="8">
        <v>45173</v>
      </c>
      <c r="E320" s="8"/>
      <c r="F320" s="8">
        <v>45184</v>
      </c>
      <c r="G320" s="8">
        <v>45188</v>
      </c>
      <c r="H320" s="2" t="s">
        <v>336</v>
      </c>
    </row>
    <row r="321" spans="1:8" hidden="1">
      <c r="A321" s="2" t="s">
        <v>2</v>
      </c>
      <c r="B321" s="2"/>
      <c r="C321" s="2" t="e">
        <v>#REF!</v>
      </c>
      <c r="D321" s="8">
        <v>45173</v>
      </c>
      <c r="E321" s="8"/>
      <c r="F321" s="8">
        <v>45184</v>
      </c>
      <c r="G321" s="8">
        <v>45188</v>
      </c>
      <c r="H321" s="2" t="s">
        <v>337</v>
      </c>
    </row>
    <row r="322" spans="1:8" hidden="1">
      <c r="A322" s="2" t="s">
        <v>2</v>
      </c>
      <c r="B322" s="2"/>
      <c r="C322" s="2" t="e">
        <v>#REF!</v>
      </c>
      <c r="D322" s="8">
        <v>45173</v>
      </c>
      <c r="E322" s="8"/>
      <c r="F322" s="8">
        <v>45184</v>
      </c>
      <c r="G322" s="8">
        <v>45188</v>
      </c>
      <c r="H322" s="2" t="s">
        <v>337</v>
      </c>
    </row>
    <row r="323" spans="1:8" hidden="1">
      <c r="A323" s="2" t="s">
        <v>2</v>
      </c>
      <c r="B323" s="2"/>
      <c r="C323" s="2" t="e">
        <v>#REF!</v>
      </c>
      <c r="D323" s="8">
        <v>45173</v>
      </c>
      <c r="E323" s="8"/>
      <c r="F323" s="8">
        <v>45184</v>
      </c>
      <c r="G323" s="8">
        <v>45188</v>
      </c>
      <c r="H323" s="2" t="s">
        <v>337</v>
      </c>
    </row>
    <row r="324" spans="1:8" hidden="1">
      <c r="A324" s="2" t="s">
        <v>2</v>
      </c>
      <c r="B324" s="2"/>
      <c r="C324" s="2" t="e">
        <v>#REF!</v>
      </c>
      <c r="D324" s="8">
        <v>45173</v>
      </c>
      <c r="E324" s="8"/>
      <c r="F324" s="8">
        <v>45184</v>
      </c>
      <c r="G324" s="8">
        <v>45188</v>
      </c>
      <c r="H324" s="2" t="s">
        <v>337</v>
      </c>
    </row>
    <row r="325" spans="1:8" hidden="1">
      <c r="A325" s="2" t="s">
        <v>2</v>
      </c>
      <c r="B325" s="2"/>
      <c r="C325" s="2" t="e">
        <v>#REF!</v>
      </c>
      <c r="D325" s="8">
        <v>45173</v>
      </c>
      <c r="E325" s="8"/>
      <c r="F325" s="8">
        <v>45184</v>
      </c>
      <c r="G325" s="8">
        <v>45188</v>
      </c>
      <c r="H325" s="2" t="s">
        <v>337</v>
      </c>
    </row>
    <row r="326" spans="1:8" hidden="1">
      <c r="A326" s="2" t="s">
        <v>2</v>
      </c>
      <c r="B326" s="2"/>
      <c r="C326" s="2" t="e">
        <v>#REF!</v>
      </c>
      <c r="D326" s="8">
        <v>45180</v>
      </c>
      <c r="E326" s="8"/>
      <c r="F326" s="8">
        <v>45209</v>
      </c>
      <c r="G326" s="8">
        <v>45195</v>
      </c>
      <c r="H326" s="2" t="s">
        <v>338</v>
      </c>
    </row>
    <row r="327" spans="1:8" hidden="1">
      <c r="A327" s="2" t="s">
        <v>2</v>
      </c>
      <c r="B327" s="2"/>
      <c r="C327" s="2" t="e">
        <v>#REF!</v>
      </c>
      <c r="D327" s="8">
        <v>45180</v>
      </c>
      <c r="E327" s="8"/>
      <c r="F327" s="8">
        <v>45209</v>
      </c>
      <c r="G327" s="8">
        <v>45195</v>
      </c>
      <c r="H327" s="2" t="s">
        <v>339</v>
      </c>
    </row>
    <row r="328" spans="1:8" hidden="1">
      <c r="A328" s="2" t="s">
        <v>4</v>
      </c>
      <c r="B328" s="2"/>
      <c r="C328" s="2" t="e">
        <v>#REF!</v>
      </c>
      <c r="D328" s="8">
        <v>45181</v>
      </c>
      <c r="E328" s="8"/>
      <c r="F328" s="8">
        <v>45216</v>
      </c>
      <c r="G328" s="8">
        <v>45196</v>
      </c>
      <c r="H328" s="2" t="s">
        <v>340</v>
      </c>
    </row>
    <row r="329" spans="1:8" hidden="1">
      <c r="A329" s="2" t="s">
        <v>5</v>
      </c>
      <c r="B329" s="2"/>
      <c r="C329" s="2" t="e">
        <v>#REF!</v>
      </c>
      <c r="D329" s="8">
        <v>45195</v>
      </c>
      <c r="E329" s="8"/>
      <c r="F329" s="8">
        <v>45216</v>
      </c>
      <c r="G329" s="8">
        <v>45210</v>
      </c>
      <c r="H329" s="2" t="s">
        <v>341</v>
      </c>
    </row>
    <row r="330" spans="1:8" hidden="1">
      <c r="A330" s="2" t="s">
        <v>5</v>
      </c>
      <c r="B330" s="2"/>
      <c r="C330" s="2" t="e">
        <v>#REF!</v>
      </c>
      <c r="D330" s="8">
        <v>45195</v>
      </c>
      <c r="E330" s="8"/>
      <c r="F330" s="8">
        <v>45216</v>
      </c>
      <c r="G330" s="8">
        <v>45210</v>
      </c>
      <c r="H330" s="2" t="s">
        <v>342</v>
      </c>
    </row>
    <row r="331" spans="1:8" hidden="1">
      <c r="A331" s="2" t="s">
        <v>5</v>
      </c>
      <c r="B331" s="2"/>
      <c r="C331" s="2" t="e">
        <v>#REF!</v>
      </c>
      <c r="D331" s="8">
        <v>45195</v>
      </c>
      <c r="E331" s="8"/>
      <c r="F331" s="8">
        <v>45216</v>
      </c>
      <c r="G331" s="8">
        <v>45210</v>
      </c>
      <c r="H331" s="2" t="s">
        <v>343</v>
      </c>
    </row>
    <row r="332" spans="1:8" hidden="1">
      <c r="A332" s="2" t="s">
        <v>5</v>
      </c>
      <c r="B332" s="2"/>
      <c r="C332" s="2" t="e">
        <v>#REF!</v>
      </c>
      <c r="D332" s="8">
        <v>45195</v>
      </c>
      <c r="E332" s="8"/>
      <c r="F332" s="8">
        <v>45216</v>
      </c>
      <c r="G332" s="8">
        <v>45210</v>
      </c>
      <c r="H332" s="2" t="s">
        <v>343</v>
      </c>
    </row>
    <row r="333" spans="1:8" hidden="1">
      <c r="A333" s="2" t="s">
        <v>5</v>
      </c>
      <c r="B333" s="2"/>
      <c r="C333" s="2" t="e">
        <v>#REF!</v>
      </c>
      <c r="D333" s="8">
        <v>45195</v>
      </c>
      <c r="E333" s="8"/>
      <c r="F333" s="8">
        <v>45216</v>
      </c>
      <c r="G333" s="8">
        <v>45210</v>
      </c>
      <c r="H333" s="2" t="s">
        <v>343</v>
      </c>
    </row>
    <row r="334" spans="1:8" hidden="1">
      <c r="A334" s="2" t="s">
        <v>5</v>
      </c>
      <c r="B334" s="2"/>
      <c r="C334" s="2" t="e">
        <v>#REF!</v>
      </c>
      <c r="D334" s="8">
        <v>45195</v>
      </c>
      <c r="E334" s="8"/>
      <c r="F334" s="8">
        <v>45222</v>
      </c>
      <c r="G334" s="8">
        <v>45210</v>
      </c>
      <c r="H334" s="2" t="s">
        <v>344</v>
      </c>
    </row>
    <row r="335" spans="1:8" hidden="1">
      <c r="A335" s="2" t="s">
        <v>5</v>
      </c>
      <c r="B335" s="2"/>
      <c r="C335" s="2" t="e">
        <v>#REF!</v>
      </c>
      <c r="D335" s="8">
        <v>45195</v>
      </c>
      <c r="E335" s="8"/>
      <c r="F335" s="8">
        <v>45222</v>
      </c>
      <c r="G335" s="8">
        <v>45210</v>
      </c>
      <c r="H335" s="2" t="s">
        <v>240</v>
      </c>
    </row>
    <row r="336" spans="1:8" hidden="1">
      <c r="A336" s="2" t="s">
        <v>5</v>
      </c>
      <c r="B336" s="2"/>
      <c r="C336" s="2" t="e">
        <v>#REF!</v>
      </c>
      <c r="D336" s="8">
        <v>45195</v>
      </c>
      <c r="E336" s="8"/>
      <c r="F336" s="8">
        <v>45222</v>
      </c>
      <c r="G336" s="8">
        <v>45210</v>
      </c>
      <c r="H336" s="2" t="s">
        <v>240</v>
      </c>
    </row>
    <row r="337" spans="1:8" hidden="1">
      <c r="A337" s="2" t="s">
        <v>5</v>
      </c>
      <c r="B337" s="2"/>
      <c r="C337" s="2" t="e">
        <v>#REF!</v>
      </c>
      <c r="D337" s="8">
        <v>45195</v>
      </c>
      <c r="E337" s="8"/>
      <c r="F337" s="8">
        <v>45222</v>
      </c>
      <c r="G337" s="8">
        <v>45210</v>
      </c>
      <c r="H337" s="2" t="s">
        <v>240</v>
      </c>
    </row>
    <row r="338" spans="1:8" hidden="1">
      <c r="A338" s="2" t="s">
        <v>5</v>
      </c>
      <c r="B338" s="2"/>
      <c r="C338" s="2" t="e">
        <v>#REF!</v>
      </c>
      <c r="D338" s="8">
        <v>45195</v>
      </c>
      <c r="E338" s="8"/>
      <c r="F338" s="8">
        <v>45222</v>
      </c>
      <c r="G338" s="8">
        <v>45210</v>
      </c>
      <c r="H338" s="2" t="s">
        <v>240</v>
      </c>
    </row>
    <row r="339" spans="1:8" hidden="1">
      <c r="A339" s="2" t="s">
        <v>5</v>
      </c>
      <c r="B339" s="2"/>
      <c r="C339" s="2" t="e">
        <v>#REF!</v>
      </c>
      <c r="D339" s="8">
        <v>45195</v>
      </c>
      <c r="E339" s="8"/>
      <c r="F339" s="8">
        <v>45216</v>
      </c>
      <c r="G339" s="8">
        <v>45210</v>
      </c>
      <c r="H339" s="2" t="s">
        <v>345</v>
      </c>
    </row>
    <row r="340" spans="1:8" hidden="1">
      <c r="A340" s="2" t="s">
        <v>5</v>
      </c>
      <c r="B340" s="2"/>
      <c r="C340" s="2" t="e">
        <v>#REF!</v>
      </c>
      <c r="D340" s="8">
        <v>45195</v>
      </c>
      <c r="E340" s="8"/>
      <c r="F340" s="8">
        <v>45216</v>
      </c>
      <c r="G340" s="8">
        <v>45210</v>
      </c>
      <c r="H340" s="2" t="s">
        <v>345</v>
      </c>
    </row>
    <row r="341" spans="1:8" hidden="1">
      <c r="A341" s="2" t="s">
        <v>5</v>
      </c>
      <c r="B341" s="2"/>
      <c r="C341" s="2" t="e">
        <v>#REF!</v>
      </c>
      <c r="D341" s="8">
        <v>45195</v>
      </c>
      <c r="E341" s="8"/>
      <c r="F341" s="8">
        <v>45216</v>
      </c>
      <c r="G341" s="8">
        <v>45210</v>
      </c>
      <c r="H341" s="2" t="s">
        <v>345</v>
      </c>
    </row>
    <row r="342" spans="1:8" hidden="1">
      <c r="A342" s="2" t="s">
        <v>5</v>
      </c>
      <c r="B342" s="2"/>
      <c r="C342" s="2" t="e">
        <v>#REF!</v>
      </c>
      <c r="D342" s="8">
        <v>45195</v>
      </c>
      <c r="E342" s="8"/>
      <c r="F342" s="8">
        <v>45222</v>
      </c>
      <c r="G342" s="8">
        <v>45210</v>
      </c>
      <c r="H342" s="2" t="s">
        <v>346</v>
      </c>
    </row>
    <row r="343" spans="1:8" hidden="1">
      <c r="A343" s="2" t="s">
        <v>5</v>
      </c>
      <c r="B343" s="2"/>
      <c r="C343" s="2" t="e">
        <v>#REF!</v>
      </c>
      <c r="D343" s="8">
        <v>45195</v>
      </c>
      <c r="E343" s="8"/>
      <c r="F343" s="8">
        <v>45222</v>
      </c>
      <c r="G343" s="8">
        <v>45210</v>
      </c>
      <c r="H343" s="2" t="s">
        <v>347</v>
      </c>
    </row>
    <row r="344" spans="1:8" hidden="1">
      <c r="A344" s="2" t="s">
        <v>5</v>
      </c>
      <c r="B344" s="2"/>
      <c r="C344" s="2" t="e">
        <v>#REF!</v>
      </c>
      <c r="D344" s="8">
        <v>45195</v>
      </c>
      <c r="E344" s="8"/>
      <c r="F344" s="8">
        <v>45222</v>
      </c>
      <c r="G344" s="8">
        <v>45210</v>
      </c>
      <c r="H344" s="2" t="s">
        <v>348</v>
      </c>
    </row>
    <row r="345" spans="1:8" hidden="1">
      <c r="A345" s="2" t="s">
        <v>5</v>
      </c>
      <c r="B345" s="2"/>
      <c r="C345" s="2" t="e">
        <v>#REF!</v>
      </c>
      <c r="D345" s="8">
        <v>45195</v>
      </c>
      <c r="E345" s="8"/>
      <c r="F345" s="8">
        <v>45222</v>
      </c>
      <c r="G345" s="8">
        <v>45210</v>
      </c>
      <c r="H345" s="2" t="s">
        <v>348</v>
      </c>
    </row>
    <row r="346" spans="1:8" hidden="1">
      <c r="A346" s="2" t="s">
        <v>5</v>
      </c>
      <c r="B346" s="2"/>
      <c r="C346" s="2" t="e">
        <v>#REF!</v>
      </c>
      <c r="D346" s="8">
        <v>45195</v>
      </c>
      <c r="E346" s="8"/>
      <c r="F346" s="8">
        <v>45222</v>
      </c>
      <c r="G346" s="8">
        <v>45210</v>
      </c>
      <c r="H346" s="2" t="s">
        <v>348</v>
      </c>
    </row>
    <row r="347" spans="1:8" hidden="1">
      <c r="A347" s="2" t="s">
        <v>5</v>
      </c>
      <c r="B347" s="2"/>
      <c r="C347" s="2" t="e">
        <v>#REF!</v>
      </c>
      <c r="D347" s="8">
        <v>45195</v>
      </c>
      <c r="E347" s="8"/>
      <c r="F347" s="8">
        <v>45222</v>
      </c>
      <c r="G347" s="8">
        <v>45210</v>
      </c>
      <c r="H347" s="2" t="s">
        <v>348</v>
      </c>
    </row>
    <row r="348" spans="1:8" hidden="1">
      <c r="A348" s="2" t="s">
        <v>4</v>
      </c>
      <c r="B348" s="2"/>
      <c r="C348" s="2" t="e">
        <v>#REF!</v>
      </c>
      <c r="D348" s="8">
        <v>45167</v>
      </c>
      <c r="E348" s="8"/>
      <c r="F348" s="8">
        <v>45194</v>
      </c>
      <c r="G348" s="8">
        <v>45182</v>
      </c>
      <c r="H348" s="2" t="s">
        <v>349</v>
      </c>
    </row>
    <row r="349" spans="1:8" hidden="1">
      <c r="A349" s="2" t="s">
        <v>4</v>
      </c>
      <c r="B349" s="2"/>
      <c r="C349" s="2" t="e">
        <v>#REF!</v>
      </c>
      <c r="D349" s="8">
        <v>45167</v>
      </c>
      <c r="E349" s="8"/>
      <c r="F349" s="8">
        <v>45194</v>
      </c>
      <c r="G349" s="8">
        <v>45182</v>
      </c>
      <c r="H349" s="2" t="s">
        <v>349</v>
      </c>
    </row>
    <row r="350" spans="1:8" hidden="1">
      <c r="A350" s="2" t="s">
        <v>4</v>
      </c>
      <c r="B350" s="2"/>
      <c r="C350" s="2" t="e">
        <v>#REF!</v>
      </c>
      <c r="D350" s="8">
        <v>45167</v>
      </c>
      <c r="E350" s="8"/>
      <c r="F350" s="8">
        <v>45194</v>
      </c>
      <c r="G350" s="8">
        <v>45182</v>
      </c>
      <c r="H350" s="2" t="s">
        <v>349</v>
      </c>
    </row>
    <row r="351" spans="1:8" hidden="1">
      <c r="A351" s="2" t="s">
        <v>4</v>
      </c>
      <c r="B351" s="2"/>
      <c r="C351" s="2" t="e">
        <v>#REF!</v>
      </c>
      <c r="D351" s="8">
        <v>45167</v>
      </c>
      <c r="E351" s="8"/>
      <c r="F351" s="8">
        <v>45194</v>
      </c>
      <c r="G351" s="8">
        <v>45182</v>
      </c>
      <c r="H351" s="2" t="s">
        <v>349</v>
      </c>
    </row>
    <row r="352" spans="1:8" hidden="1">
      <c r="A352" s="2" t="s">
        <v>4</v>
      </c>
      <c r="B352" s="2"/>
      <c r="C352" s="2" t="e">
        <v>#REF!</v>
      </c>
      <c r="D352" s="8">
        <v>45167</v>
      </c>
      <c r="E352" s="8"/>
      <c r="F352" s="8">
        <v>45194</v>
      </c>
      <c r="G352" s="8">
        <v>45182</v>
      </c>
      <c r="H352" s="2" t="s">
        <v>349</v>
      </c>
    </row>
    <row r="353" spans="1:8" hidden="1">
      <c r="A353" s="2" t="s">
        <v>4</v>
      </c>
      <c r="B353" s="2"/>
      <c r="C353" s="2" t="e">
        <v>#REF!</v>
      </c>
      <c r="D353" s="8">
        <v>45167</v>
      </c>
      <c r="E353" s="8"/>
      <c r="F353" s="8">
        <v>45194</v>
      </c>
      <c r="G353" s="8">
        <v>45182</v>
      </c>
      <c r="H353" s="2" t="s">
        <v>349</v>
      </c>
    </row>
    <row r="354" spans="1:8" hidden="1">
      <c r="A354" s="2" t="s">
        <v>4</v>
      </c>
      <c r="B354" s="2"/>
      <c r="C354" s="2" t="e">
        <v>#REF!</v>
      </c>
      <c r="D354" s="8">
        <v>45167</v>
      </c>
      <c r="E354" s="8"/>
      <c r="F354" s="8">
        <v>45194</v>
      </c>
      <c r="G354" s="8">
        <v>45182</v>
      </c>
      <c r="H354" s="2" t="s">
        <v>349</v>
      </c>
    </row>
    <row r="355" spans="1:8" hidden="1">
      <c r="A355" s="2" t="s">
        <v>4</v>
      </c>
      <c r="B355" s="2"/>
      <c r="C355" s="2" t="e">
        <v>#REF!</v>
      </c>
      <c r="D355" s="8">
        <v>45167</v>
      </c>
      <c r="E355" s="8"/>
      <c r="F355" s="8">
        <v>45194</v>
      </c>
      <c r="G355" s="8">
        <v>45182</v>
      </c>
      <c r="H355" s="2" t="s">
        <v>350</v>
      </c>
    </row>
    <row r="356" spans="1:8" hidden="1">
      <c r="A356" s="2" t="s">
        <v>4</v>
      </c>
      <c r="B356" s="2"/>
      <c r="C356" s="2" t="e">
        <v>#REF!</v>
      </c>
      <c r="D356" s="8">
        <v>45167</v>
      </c>
      <c r="E356" s="8"/>
      <c r="F356" s="8">
        <v>45194</v>
      </c>
      <c r="G356" s="8">
        <v>45182</v>
      </c>
      <c r="H356" s="2" t="s">
        <v>350</v>
      </c>
    </row>
    <row r="357" spans="1:8" hidden="1">
      <c r="A357" s="2" t="s">
        <v>4</v>
      </c>
      <c r="B357" s="2"/>
      <c r="C357" s="2" t="e">
        <v>#REF!</v>
      </c>
      <c r="D357" s="8">
        <v>45167</v>
      </c>
      <c r="E357" s="8"/>
      <c r="F357" s="8">
        <v>45194</v>
      </c>
      <c r="G357" s="8">
        <v>45182</v>
      </c>
      <c r="H357" s="2" t="s">
        <v>350</v>
      </c>
    </row>
    <row r="358" spans="1:8" hidden="1">
      <c r="A358" s="2" t="s">
        <v>4</v>
      </c>
      <c r="B358" s="2"/>
      <c r="C358" s="2" t="e">
        <v>#REF!</v>
      </c>
      <c r="D358" s="8">
        <v>45167</v>
      </c>
      <c r="E358" s="8"/>
      <c r="F358" s="8">
        <v>45194</v>
      </c>
      <c r="G358" s="8">
        <v>45182</v>
      </c>
      <c r="H358" s="2" t="s">
        <v>350</v>
      </c>
    </row>
    <row r="359" spans="1:8" hidden="1">
      <c r="A359" s="2" t="s">
        <v>4</v>
      </c>
      <c r="B359" s="2"/>
      <c r="C359" s="2" t="e">
        <v>#REF!</v>
      </c>
      <c r="D359" s="8">
        <v>45167</v>
      </c>
      <c r="E359" s="8"/>
      <c r="F359" s="8">
        <v>45194</v>
      </c>
      <c r="G359" s="8">
        <v>45182</v>
      </c>
      <c r="H359" s="2" t="s">
        <v>350</v>
      </c>
    </row>
    <row r="360" spans="1:8" hidden="1">
      <c r="A360" s="2" t="s">
        <v>4</v>
      </c>
      <c r="B360" s="2"/>
      <c r="C360" s="2" t="e">
        <v>#REF!</v>
      </c>
      <c r="D360" s="8">
        <v>45167</v>
      </c>
      <c r="E360" s="8"/>
      <c r="F360" s="8">
        <v>45194</v>
      </c>
      <c r="G360" s="8">
        <v>45182</v>
      </c>
      <c r="H360" s="2" t="s">
        <v>350</v>
      </c>
    </row>
    <row r="361" spans="1:8" hidden="1">
      <c r="A361" s="2" t="s">
        <v>4</v>
      </c>
      <c r="B361" s="2"/>
      <c r="C361" s="2" t="e">
        <v>#REF!</v>
      </c>
      <c r="D361" s="8">
        <v>45167</v>
      </c>
      <c r="E361" s="8"/>
      <c r="F361" s="8">
        <v>45194</v>
      </c>
      <c r="G361" s="8">
        <v>45182</v>
      </c>
      <c r="H361" s="2" t="s">
        <v>350</v>
      </c>
    </row>
    <row r="362" spans="1:8" hidden="1">
      <c r="A362" s="2" t="s">
        <v>4</v>
      </c>
      <c r="B362" s="2"/>
      <c r="C362" s="2" t="e">
        <v>#REF!</v>
      </c>
      <c r="D362" s="8">
        <v>45167</v>
      </c>
      <c r="E362" s="8"/>
      <c r="F362" s="8">
        <v>45194</v>
      </c>
      <c r="G362" s="8">
        <v>45182</v>
      </c>
      <c r="H362" s="2" t="s">
        <v>351</v>
      </c>
    </row>
    <row r="363" spans="1:8" hidden="1">
      <c r="A363" s="2" t="s">
        <v>4</v>
      </c>
      <c r="B363" s="2"/>
      <c r="C363" s="2" t="e">
        <v>#REF!</v>
      </c>
      <c r="D363" s="8">
        <v>45190</v>
      </c>
      <c r="E363" s="8"/>
      <c r="F363" s="8">
        <v>45210</v>
      </c>
      <c r="G363" s="8">
        <v>45205</v>
      </c>
      <c r="H363" s="2" t="s">
        <v>352</v>
      </c>
    </row>
    <row r="364" spans="1:8" hidden="1">
      <c r="A364" s="2" t="s">
        <v>4</v>
      </c>
      <c r="B364" s="2"/>
      <c r="C364" s="2" t="e">
        <v>#REF!</v>
      </c>
      <c r="D364" s="8">
        <v>45190</v>
      </c>
      <c r="E364" s="8"/>
      <c r="F364" s="8">
        <v>45210</v>
      </c>
      <c r="G364" s="8">
        <v>45205</v>
      </c>
      <c r="H364" s="2" t="s">
        <v>352</v>
      </c>
    </row>
    <row r="365" spans="1:8" hidden="1">
      <c r="A365" s="2" t="s">
        <v>4</v>
      </c>
      <c r="B365" s="2"/>
      <c r="C365" s="2" t="e">
        <v>#REF!</v>
      </c>
      <c r="D365" s="8">
        <v>45190</v>
      </c>
      <c r="E365" s="8"/>
      <c r="F365" s="8">
        <v>45210</v>
      </c>
      <c r="G365" s="8">
        <v>45205</v>
      </c>
      <c r="H365" s="2" t="s">
        <v>352</v>
      </c>
    </row>
    <row r="366" spans="1:8" hidden="1">
      <c r="A366" s="2" t="s">
        <v>4</v>
      </c>
      <c r="B366" s="2"/>
      <c r="C366" s="2" t="e">
        <v>#REF!</v>
      </c>
      <c r="D366" s="8">
        <v>45190</v>
      </c>
      <c r="E366" s="8"/>
      <c r="F366" s="8">
        <v>45210</v>
      </c>
      <c r="G366" s="8">
        <v>45205</v>
      </c>
      <c r="H366" s="2" t="s">
        <v>352</v>
      </c>
    </row>
    <row r="367" spans="1:8" hidden="1">
      <c r="A367" s="2" t="s">
        <v>4</v>
      </c>
      <c r="B367" s="2"/>
      <c r="C367" s="2" t="e">
        <v>#REF!</v>
      </c>
      <c r="D367" s="8">
        <v>45190</v>
      </c>
      <c r="E367" s="8"/>
      <c r="F367" s="8">
        <v>45210</v>
      </c>
      <c r="G367" s="8">
        <v>45205</v>
      </c>
      <c r="H367" s="2" t="s">
        <v>352</v>
      </c>
    </row>
    <row r="368" spans="1:8" hidden="1">
      <c r="A368" s="2" t="s">
        <v>4</v>
      </c>
      <c r="B368" s="2"/>
      <c r="C368" s="2" t="e">
        <v>#REF!</v>
      </c>
      <c r="D368" s="8">
        <v>45190</v>
      </c>
      <c r="E368" s="8"/>
      <c r="F368" s="8">
        <v>45210</v>
      </c>
      <c r="G368" s="8">
        <v>45205</v>
      </c>
      <c r="H368" s="2" t="s">
        <v>353</v>
      </c>
    </row>
    <row r="369" spans="1:8" hidden="1">
      <c r="A369" s="2" t="s">
        <v>4</v>
      </c>
      <c r="B369" s="2"/>
      <c r="C369" s="2" t="e">
        <v>#REF!</v>
      </c>
      <c r="D369" s="8">
        <v>45190</v>
      </c>
      <c r="E369" s="8"/>
      <c r="F369" s="8">
        <v>45210</v>
      </c>
      <c r="G369" s="8">
        <v>45205</v>
      </c>
      <c r="H369" s="2" t="s">
        <v>354</v>
      </c>
    </row>
    <row r="370" spans="1:8" hidden="1">
      <c r="A370" s="2" t="s">
        <v>4</v>
      </c>
      <c r="B370" s="2"/>
      <c r="C370" s="2" t="e">
        <v>#REF!</v>
      </c>
      <c r="D370" s="8">
        <v>45190</v>
      </c>
      <c r="E370" s="8"/>
      <c r="F370" s="8">
        <v>45210</v>
      </c>
      <c r="G370" s="8">
        <v>45205</v>
      </c>
      <c r="H370" s="2" t="s">
        <v>354</v>
      </c>
    </row>
    <row r="371" spans="1:8" hidden="1">
      <c r="A371" s="2" t="s">
        <v>4</v>
      </c>
      <c r="B371" s="2"/>
      <c r="C371" s="2" t="e">
        <v>#REF!</v>
      </c>
      <c r="D371" s="8">
        <v>45190</v>
      </c>
      <c r="E371" s="8"/>
      <c r="F371" s="8">
        <v>45210</v>
      </c>
      <c r="G371" s="8">
        <v>45205</v>
      </c>
      <c r="H371" s="2" t="s">
        <v>354</v>
      </c>
    </row>
    <row r="372" spans="1:8" hidden="1">
      <c r="A372" s="2" t="s">
        <v>4</v>
      </c>
      <c r="B372" s="2"/>
      <c r="C372" s="2" t="e">
        <v>#REF!</v>
      </c>
      <c r="D372" s="8">
        <v>45190</v>
      </c>
      <c r="E372" s="8"/>
      <c r="F372" s="8">
        <v>45210</v>
      </c>
      <c r="G372" s="8">
        <v>45205</v>
      </c>
      <c r="H372" s="2" t="s">
        <v>355</v>
      </c>
    </row>
    <row r="373" spans="1:8" hidden="1">
      <c r="A373" s="2" t="s">
        <v>4</v>
      </c>
      <c r="B373" s="2"/>
      <c r="C373" s="2" t="e">
        <v>#REF!</v>
      </c>
      <c r="D373" s="8">
        <v>45190</v>
      </c>
      <c r="E373" s="8"/>
      <c r="F373" s="8">
        <v>45209</v>
      </c>
      <c r="G373" s="8">
        <v>45205</v>
      </c>
      <c r="H373" s="2" t="s">
        <v>356</v>
      </c>
    </row>
    <row r="374" spans="1:8" hidden="1">
      <c r="A374" s="2" t="s">
        <v>4</v>
      </c>
      <c r="B374" s="2"/>
      <c r="C374" s="2" t="e">
        <v>#REF!</v>
      </c>
      <c r="D374" s="8">
        <v>45190</v>
      </c>
      <c r="E374" s="8"/>
      <c r="F374" s="8">
        <v>45209</v>
      </c>
      <c r="G374" s="8">
        <v>45205</v>
      </c>
      <c r="H374" s="2" t="s">
        <v>357</v>
      </c>
    </row>
    <row r="375" spans="1:8" hidden="1">
      <c r="A375" s="2" t="s">
        <v>4</v>
      </c>
      <c r="B375" s="2"/>
      <c r="C375" s="2" t="e">
        <v>#REF!</v>
      </c>
      <c r="D375" s="8">
        <v>45167</v>
      </c>
      <c r="E375" s="8"/>
      <c r="F375" s="8">
        <v>45224</v>
      </c>
      <c r="G375" s="8">
        <v>45182</v>
      </c>
      <c r="H375" s="2" t="s">
        <v>358</v>
      </c>
    </row>
    <row r="376" spans="1:8" hidden="1">
      <c r="A376" s="2" t="s">
        <v>4</v>
      </c>
      <c r="B376" s="2"/>
      <c r="C376" s="2" t="e">
        <v>#REF!</v>
      </c>
      <c r="D376" s="8">
        <v>45167</v>
      </c>
      <c r="E376" s="8"/>
      <c r="F376" s="8">
        <v>45224</v>
      </c>
      <c r="G376" s="8">
        <v>45182</v>
      </c>
      <c r="H376" s="2" t="s">
        <v>358</v>
      </c>
    </row>
    <row r="377" spans="1:8" hidden="1">
      <c r="A377" s="2" t="s">
        <v>4</v>
      </c>
      <c r="B377" s="2"/>
      <c r="C377" s="2" t="e">
        <v>#REF!</v>
      </c>
      <c r="D377" s="8">
        <v>45167</v>
      </c>
      <c r="E377" s="8"/>
      <c r="F377" s="8">
        <v>45224</v>
      </c>
      <c r="G377" s="8">
        <v>45182</v>
      </c>
      <c r="H377" s="2" t="s">
        <v>358</v>
      </c>
    </row>
    <row r="378" spans="1:8" hidden="1">
      <c r="A378" s="2" t="s">
        <v>4</v>
      </c>
      <c r="B378" s="2"/>
      <c r="C378" s="2" t="e">
        <v>#REF!</v>
      </c>
      <c r="D378" s="8">
        <v>45167</v>
      </c>
      <c r="E378" s="8"/>
      <c r="F378" s="8">
        <v>45224</v>
      </c>
      <c r="G378" s="8">
        <v>45182</v>
      </c>
      <c r="H378" s="2" t="s">
        <v>359</v>
      </c>
    </row>
    <row r="379" spans="1:8" hidden="1">
      <c r="A379" s="2" t="s">
        <v>4</v>
      </c>
      <c r="B379" s="2"/>
      <c r="C379" s="2" t="e">
        <v>#REF!</v>
      </c>
      <c r="D379" s="8">
        <v>45167</v>
      </c>
      <c r="E379" s="8"/>
      <c r="F379" s="8">
        <v>45224</v>
      </c>
      <c r="G379" s="8">
        <v>45182</v>
      </c>
      <c r="H379" s="2" t="s">
        <v>360</v>
      </c>
    </row>
    <row r="380" spans="1:8" hidden="1">
      <c r="A380" s="2" t="s">
        <v>4</v>
      </c>
      <c r="B380" s="2"/>
      <c r="C380" s="2" t="e">
        <v>#REF!</v>
      </c>
      <c r="D380" s="8">
        <v>45167</v>
      </c>
      <c r="E380" s="8"/>
      <c r="F380" s="8">
        <v>45224</v>
      </c>
      <c r="G380" s="8">
        <v>45182</v>
      </c>
      <c r="H380" s="2" t="s">
        <v>360</v>
      </c>
    </row>
    <row r="381" spans="1:8" hidden="1">
      <c r="A381" s="2" t="s">
        <v>4</v>
      </c>
      <c r="B381" s="2"/>
      <c r="C381" s="2" t="e">
        <v>#REF!</v>
      </c>
      <c r="D381" s="8">
        <v>45167</v>
      </c>
      <c r="E381" s="8"/>
      <c r="F381" s="8">
        <v>45224</v>
      </c>
      <c r="G381" s="8">
        <v>45182</v>
      </c>
      <c r="H381" s="2" t="s">
        <v>360</v>
      </c>
    </row>
    <row r="382" spans="1:8" hidden="1">
      <c r="A382" s="2" t="s">
        <v>4</v>
      </c>
      <c r="B382" s="2"/>
      <c r="C382" s="2" t="e">
        <v>#REF!</v>
      </c>
      <c r="D382" s="8">
        <v>45167</v>
      </c>
      <c r="E382" s="8"/>
      <c r="F382" s="8">
        <v>45224</v>
      </c>
      <c r="G382" s="8">
        <v>45182</v>
      </c>
      <c r="H382" s="2" t="s">
        <v>361</v>
      </c>
    </row>
    <row r="383" spans="1:8" hidden="1">
      <c r="A383" s="2" t="s">
        <v>4</v>
      </c>
      <c r="B383" s="2"/>
      <c r="C383" s="2" t="e">
        <v>#REF!</v>
      </c>
      <c r="D383" s="8">
        <v>45204</v>
      </c>
      <c r="E383" s="8"/>
      <c r="F383" s="8">
        <v>45230</v>
      </c>
      <c r="G383" s="8">
        <v>45219</v>
      </c>
      <c r="H383" s="2" t="s">
        <v>362</v>
      </c>
    </row>
    <row r="384" spans="1:8" hidden="1">
      <c r="A384" s="2" t="s">
        <v>4</v>
      </c>
      <c r="B384" s="2"/>
      <c r="C384" s="2" t="e">
        <v>#REF!</v>
      </c>
      <c r="D384" s="8">
        <v>45204</v>
      </c>
      <c r="E384" s="8"/>
      <c r="F384" s="8">
        <v>45230</v>
      </c>
      <c r="G384" s="8">
        <v>45219</v>
      </c>
      <c r="H384" s="2" t="s">
        <v>363</v>
      </c>
    </row>
    <row r="385" spans="1:8" hidden="1">
      <c r="A385" s="2" t="s">
        <v>4</v>
      </c>
      <c r="B385" s="2"/>
      <c r="C385" s="2" t="e">
        <v>#REF!</v>
      </c>
      <c r="D385" s="8">
        <v>45204</v>
      </c>
      <c r="E385" s="8"/>
      <c r="F385" s="8">
        <v>45230</v>
      </c>
      <c r="G385" s="8">
        <v>45219</v>
      </c>
      <c r="H385" s="2" t="s">
        <v>364</v>
      </c>
    </row>
    <row r="386" spans="1:8" hidden="1">
      <c r="A386" s="2" t="s">
        <v>4</v>
      </c>
      <c r="B386" s="2"/>
      <c r="C386" s="2" t="e">
        <v>#REF!</v>
      </c>
      <c r="D386" s="8">
        <v>45204</v>
      </c>
      <c r="E386" s="8"/>
      <c r="F386" s="8">
        <v>45230</v>
      </c>
      <c r="G386" s="8">
        <v>45219</v>
      </c>
      <c r="H386" s="2" t="s">
        <v>365</v>
      </c>
    </row>
    <row r="387" spans="1:8" hidden="1">
      <c r="A387" s="2" t="s">
        <v>4</v>
      </c>
      <c r="B387" s="2"/>
      <c r="C387" s="2" t="e">
        <v>#REF!</v>
      </c>
      <c r="D387" s="8">
        <v>45204</v>
      </c>
      <c r="E387" s="8"/>
      <c r="F387" s="8">
        <v>45230</v>
      </c>
      <c r="G387" s="8">
        <v>45219</v>
      </c>
      <c r="H387" s="2" t="s">
        <v>366</v>
      </c>
    </row>
    <row r="388" spans="1:8" hidden="1">
      <c r="A388" s="2" t="s">
        <v>4</v>
      </c>
      <c r="B388" s="2"/>
      <c r="C388" s="2" t="e">
        <v>#REF!</v>
      </c>
      <c r="D388" s="8">
        <v>45204</v>
      </c>
      <c r="E388" s="8"/>
      <c r="F388" s="8">
        <v>45230</v>
      </c>
      <c r="G388" s="8">
        <v>45219</v>
      </c>
      <c r="H388" s="2" t="s">
        <v>367</v>
      </c>
    </row>
    <row r="389" spans="1:8" hidden="1">
      <c r="A389" s="2" t="s">
        <v>4</v>
      </c>
      <c r="B389" s="2"/>
      <c r="C389" s="2" t="e">
        <v>#REF!</v>
      </c>
      <c r="D389" s="8">
        <v>45204</v>
      </c>
      <c r="E389" s="8"/>
      <c r="F389" s="8">
        <v>45230</v>
      </c>
      <c r="G389" s="8">
        <v>45219</v>
      </c>
      <c r="H389" s="2" t="s">
        <v>367</v>
      </c>
    </row>
    <row r="390" spans="1:8" hidden="1">
      <c r="A390" s="2" t="s">
        <v>4</v>
      </c>
      <c r="B390" s="2"/>
      <c r="C390" s="2" t="e">
        <v>#REF!</v>
      </c>
      <c r="D390" s="8">
        <v>45204</v>
      </c>
      <c r="E390" s="8"/>
      <c r="F390" s="8">
        <v>45230</v>
      </c>
      <c r="G390" s="8">
        <v>45219</v>
      </c>
      <c r="H390" s="2" t="s">
        <v>367</v>
      </c>
    </row>
    <row r="391" spans="1:8" hidden="1">
      <c r="A391" s="2" t="s">
        <v>4</v>
      </c>
      <c r="B391" s="2"/>
      <c r="C391" s="2" t="e">
        <v>#REF!</v>
      </c>
      <c r="D391" s="8">
        <v>45204</v>
      </c>
      <c r="E391" s="8"/>
      <c r="F391" s="8">
        <v>45230</v>
      </c>
      <c r="G391" s="8">
        <v>45219</v>
      </c>
      <c r="H391" s="2" t="s">
        <v>368</v>
      </c>
    </row>
    <row r="392" spans="1:8" hidden="1">
      <c r="A392" s="2" t="s">
        <v>4</v>
      </c>
      <c r="B392" s="2"/>
      <c r="C392" s="2" t="e">
        <v>#REF!</v>
      </c>
      <c r="D392" s="8">
        <v>45204</v>
      </c>
      <c r="E392" s="8"/>
      <c r="F392" s="8">
        <v>45230</v>
      </c>
      <c r="G392" s="8">
        <v>45219</v>
      </c>
      <c r="H392" s="2" t="s">
        <v>368</v>
      </c>
    </row>
    <row r="393" spans="1:8" hidden="1">
      <c r="A393" s="2" t="s">
        <v>4</v>
      </c>
      <c r="B393" s="2"/>
      <c r="C393" s="2" t="e">
        <v>#REF!</v>
      </c>
      <c r="D393" s="8">
        <v>45204</v>
      </c>
      <c r="E393" s="8"/>
      <c r="F393" s="8">
        <v>45230</v>
      </c>
      <c r="G393" s="8">
        <v>45219</v>
      </c>
      <c r="H393" s="2" t="s">
        <v>368</v>
      </c>
    </row>
    <row r="394" spans="1:8" hidden="1">
      <c r="A394" s="2" t="s">
        <v>4</v>
      </c>
      <c r="B394" s="2"/>
      <c r="C394" s="2" t="e">
        <v>#REF!</v>
      </c>
      <c r="D394" s="8">
        <v>45210</v>
      </c>
      <c r="E394" s="8"/>
      <c r="F394" s="8">
        <v>45247</v>
      </c>
      <c r="G394" s="8">
        <v>45225</v>
      </c>
      <c r="H394" s="2" t="s">
        <v>369</v>
      </c>
    </row>
    <row r="395" spans="1:8" hidden="1">
      <c r="A395" s="2" t="s">
        <v>4</v>
      </c>
      <c r="B395" s="2"/>
      <c r="C395" s="2" t="e">
        <v>#REF!</v>
      </c>
      <c r="D395" s="8">
        <v>45210</v>
      </c>
      <c r="E395" s="8"/>
      <c r="F395" s="8">
        <v>45247</v>
      </c>
      <c r="G395" s="8">
        <v>45225</v>
      </c>
      <c r="H395" s="2" t="s">
        <v>370</v>
      </c>
    </row>
    <row r="396" spans="1:8" hidden="1">
      <c r="A396" s="2" t="s">
        <v>4</v>
      </c>
      <c r="B396" s="2"/>
      <c r="C396" s="2" t="e">
        <v>#REF!</v>
      </c>
      <c r="D396" s="8">
        <v>45210</v>
      </c>
      <c r="E396" s="8"/>
      <c r="F396" s="8">
        <v>45247</v>
      </c>
      <c r="G396" s="8">
        <v>45225</v>
      </c>
      <c r="H396" s="2" t="s">
        <v>371</v>
      </c>
    </row>
    <row r="397" spans="1:8" hidden="1">
      <c r="A397" s="2" t="s">
        <v>4</v>
      </c>
      <c r="B397" s="2"/>
      <c r="C397" s="2" t="e">
        <v>#REF!</v>
      </c>
      <c r="D397" s="8">
        <v>45210</v>
      </c>
      <c r="E397" s="8"/>
      <c r="F397" s="8">
        <v>45247</v>
      </c>
      <c r="G397" s="8">
        <v>45225</v>
      </c>
      <c r="H397" s="2" t="s">
        <v>372</v>
      </c>
    </row>
    <row r="398" spans="1:8" hidden="1">
      <c r="A398" s="2" t="s">
        <v>4</v>
      </c>
      <c r="B398" s="2"/>
      <c r="C398" s="2" t="e">
        <v>#REF!</v>
      </c>
      <c r="D398" s="8">
        <v>45210</v>
      </c>
      <c r="E398" s="8"/>
      <c r="F398" s="8">
        <v>45247</v>
      </c>
      <c r="G398" s="8">
        <v>45225</v>
      </c>
      <c r="H398" s="2" t="s">
        <v>373</v>
      </c>
    </row>
    <row r="399" spans="1:8" hidden="1">
      <c r="A399" s="2" t="s">
        <v>4</v>
      </c>
      <c r="B399" s="2"/>
      <c r="C399" s="2" t="e">
        <v>#REF!</v>
      </c>
      <c r="D399" s="8">
        <v>45194</v>
      </c>
      <c r="E399" s="8"/>
      <c r="F399" s="8">
        <v>45222</v>
      </c>
      <c r="G399" s="8">
        <v>45209</v>
      </c>
      <c r="H399" s="2" t="s">
        <v>374</v>
      </c>
    </row>
    <row r="400" spans="1:8" hidden="1">
      <c r="A400" s="2" t="s">
        <v>4</v>
      </c>
      <c r="B400" s="2"/>
      <c r="C400" s="2" t="e">
        <v>#REF!</v>
      </c>
      <c r="D400" s="8">
        <v>45194</v>
      </c>
      <c r="E400" s="8"/>
      <c r="F400" s="8">
        <v>45222</v>
      </c>
      <c r="G400" s="8">
        <v>45209</v>
      </c>
      <c r="H400" s="2" t="s">
        <v>375</v>
      </c>
    </row>
    <row r="401" spans="1:8" hidden="1">
      <c r="A401" s="2" t="s">
        <v>4</v>
      </c>
      <c r="B401" s="2"/>
      <c r="C401" s="2" t="e">
        <v>#REF!</v>
      </c>
      <c r="D401" s="8">
        <v>45194</v>
      </c>
      <c r="E401" s="8"/>
      <c r="F401" s="8">
        <v>45222</v>
      </c>
      <c r="G401" s="8">
        <v>45209</v>
      </c>
      <c r="H401" s="2" t="s">
        <v>376</v>
      </c>
    </row>
    <row r="402" spans="1:8" hidden="1">
      <c r="A402" s="2" t="s">
        <v>4</v>
      </c>
      <c r="B402" s="2"/>
      <c r="C402" s="2" t="e">
        <v>#REF!</v>
      </c>
      <c r="D402" s="8">
        <v>45210</v>
      </c>
      <c r="E402" s="8"/>
      <c r="F402" s="8">
        <v>45245</v>
      </c>
      <c r="G402" s="8">
        <v>45225</v>
      </c>
      <c r="H402" s="2" t="s">
        <v>377</v>
      </c>
    </row>
    <row r="403" spans="1:8" hidden="1">
      <c r="A403" s="2" t="s">
        <v>6</v>
      </c>
      <c r="B403" s="2"/>
      <c r="C403" s="2" t="e">
        <v>#REF!</v>
      </c>
      <c r="D403" s="8">
        <v>45210</v>
      </c>
      <c r="E403" s="8"/>
      <c r="F403" s="8">
        <v>45245</v>
      </c>
      <c r="G403" s="8">
        <v>45225</v>
      </c>
      <c r="H403" s="2" t="s">
        <v>378</v>
      </c>
    </row>
    <row r="404" spans="1:8" hidden="1">
      <c r="A404" s="2" t="s">
        <v>6</v>
      </c>
      <c r="B404" s="2"/>
      <c r="C404" s="2" t="e">
        <v>#REF!</v>
      </c>
      <c r="D404" s="8">
        <v>45214</v>
      </c>
      <c r="E404" s="8"/>
      <c r="F404" s="8">
        <v>45245</v>
      </c>
      <c r="G404" s="8">
        <v>45227</v>
      </c>
      <c r="H404" s="2" t="s">
        <v>379</v>
      </c>
    </row>
    <row r="405" spans="1:8" hidden="1">
      <c r="A405" s="2" t="s">
        <v>6</v>
      </c>
      <c r="B405" s="2"/>
      <c r="C405" s="2" t="e">
        <v>#REF!</v>
      </c>
      <c r="D405" s="8">
        <v>45214</v>
      </c>
      <c r="E405" s="8"/>
      <c r="F405" s="8">
        <v>45245</v>
      </c>
      <c r="G405" s="8">
        <v>45227</v>
      </c>
      <c r="H405" s="2" t="s">
        <v>380</v>
      </c>
    </row>
    <row r="406" spans="1:8" hidden="1">
      <c r="A406" s="2" t="s">
        <v>6</v>
      </c>
      <c r="B406" s="2"/>
      <c r="C406" s="2" t="e">
        <v>#REF!</v>
      </c>
      <c r="D406" s="8">
        <v>45214</v>
      </c>
      <c r="E406" s="8"/>
      <c r="F406" s="8">
        <v>45245</v>
      </c>
      <c r="G406" s="8">
        <v>45227</v>
      </c>
      <c r="H406" s="2" t="s">
        <v>381</v>
      </c>
    </row>
    <row r="407" spans="1:8" hidden="1">
      <c r="A407" s="2" t="s">
        <v>6</v>
      </c>
      <c r="B407" s="2"/>
      <c r="C407" s="2" t="e">
        <v>#REF!</v>
      </c>
      <c r="D407" s="8">
        <v>45214</v>
      </c>
      <c r="E407" s="8"/>
      <c r="F407" s="8">
        <v>45245</v>
      </c>
      <c r="G407" s="8">
        <v>45227</v>
      </c>
      <c r="H407" s="2" t="s">
        <v>382</v>
      </c>
    </row>
    <row r="408" spans="1:8" hidden="1">
      <c r="A408" s="2" t="s">
        <v>6</v>
      </c>
      <c r="B408" s="2"/>
      <c r="C408" s="2" t="e">
        <v>#REF!</v>
      </c>
      <c r="D408" s="8">
        <v>45214</v>
      </c>
      <c r="E408" s="8"/>
      <c r="F408" s="8">
        <v>45245</v>
      </c>
      <c r="G408" s="8">
        <v>45227</v>
      </c>
      <c r="H408" s="2" t="s">
        <v>383</v>
      </c>
    </row>
    <row r="409" spans="1:8" hidden="1">
      <c r="A409" s="2" t="s">
        <v>6</v>
      </c>
      <c r="B409" s="2"/>
      <c r="C409" s="2" t="e">
        <v>#REF!</v>
      </c>
      <c r="D409" s="8">
        <v>45214</v>
      </c>
      <c r="E409" s="8"/>
      <c r="F409" s="8">
        <v>45245</v>
      </c>
      <c r="G409" s="8">
        <v>45227</v>
      </c>
      <c r="H409" s="2" t="s">
        <v>384</v>
      </c>
    </row>
    <row r="410" spans="1:8" hidden="1">
      <c r="A410" s="2" t="s">
        <v>6</v>
      </c>
      <c r="B410" s="2"/>
      <c r="C410" s="2" t="e">
        <v>#REF!</v>
      </c>
      <c r="D410" s="8">
        <v>45214</v>
      </c>
      <c r="E410" s="8"/>
      <c r="F410" s="8">
        <v>45245</v>
      </c>
      <c r="G410" s="8">
        <v>45227</v>
      </c>
      <c r="H410" s="2" t="s">
        <v>384</v>
      </c>
    </row>
    <row r="411" spans="1:8" hidden="1">
      <c r="A411" s="2" t="s">
        <v>6</v>
      </c>
      <c r="B411" s="2"/>
      <c r="C411" s="2" t="e">
        <v>#REF!</v>
      </c>
      <c r="D411" s="8">
        <v>45214</v>
      </c>
      <c r="E411" s="8"/>
      <c r="F411" s="8">
        <v>45245</v>
      </c>
      <c r="G411" s="8">
        <v>45227</v>
      </c>
      <c r="H411" s="2" t="s">
        <v>384</v>
      </c>
    </row>
    <row r="412" spans="1:8" hidden="1">
      <c r="A412" s="2" t="s">
        <v>6</v>
      </c>
      <c r="B412" s="2"/>
      <c r="C412" s="2" t="e">
        <v>#REF!</v>
      </c>
      <c r="D412" s="8">
        <v>45237</v>
      </c>
      <c r="E412" s="8"/>
      <c r="F412" s="8">
        <v>45271</v>
      </c>
      <c r="G412" s="8">
        <v>45252</v>
      </c>
      <c r="H412" s="2" t="s">
        <v>385</v>
      </c>
    </row>
    <row r="413" spans="1:8" hidden="1">
      <c r="A413" s="2" t="s">
        <v>6</v>
      </c>
      <c r="B413" s="2"/>
      <c r="C413" s="2" t="e">
        <v>#REF!</v>
      </c>
      <c r="D413" s="8">
        <v>45237</v>
      </c>
      <c r="E413" s="8"/>
      <c r="F413" s="8">
        <v>45271</v>
      </c>
      <c r="G413" s="8">
        <v>45252</v>
      </c>
      <c r="H413" s="2" t="s">
        <v>385</v>
      </c>
    </row>
    <row r="414" spans="1:8" hidden="1">
      <c r="A414" s="2" t="s">
        <v>6</v>
      </c>
      <c r="B414" s="2"/>
      <c r="C414" s="2" t="e">
        <v>#REF!</v>
      </c>
      <c r="D414" s="8">
        <v>45237</v>
      </c>
      <c r="E414" s="8"/>
      <c r="F414" s="8">
        <v>45271</v>
      </c>
      <c r="G414" s="8">
        <v>45252</v>
      </c>
      <c r="H414" s="2" t="s">
        <v>386</v>
      </c>
    </row>
    <row r="415" spans="1:8" hidden="1">
      <c r="A415" s="2" t="s">
        <v>6</v>
      </c>
      <c r="B415" s="2"/>
      <c r="C415" s="2" t="e">
        <v>#REF!</v>
      </c>
      <c r="D415" s="8">
        <v>45237</v>
      </c>
      <c r="E415" s="8"/>
      <c r="F415" s="8">
        <v>45271</v>
      </c>
      <c r="G415" s="8">
        <v>45252</v>
      </c>
      <c r="H415" s="2" t="s">
        <v>387</v>
      </c>
    </row>
    <row r="416" spans="1:8" hidden="1">
      <c r="A416" s="2" t="s">
        <v>6</v>
      </c>
      <c r="B416" s="2"/>
      <c r="C416" s="2" t="e">
        <v>#REF!</v>
      </c>
      <c r="D416" s="8">
        <v>45210</v>
      </c>
      <c r="E416" s="8"/>
      <c r="F416" s="8">
        <v>45324</v>
      </c>
      <c r="G416" s="8">
        <v>45225</v>
      </c>
      <c r="H416" s="2" t="s">
        <v>388</v>
      </c>
    </row>
    <row r="417" spans="1:8" hidden="1">
      <c r="A417" s="2" t="s">
        <v>6</v>
      </c>
      <c r="B417" s="2"/>
      <c r="C417" s="2" t="e">
        <v>#REF!</v>
      </c>
      <c r="D417" s="8">
        <v>45210</v>
      </c>
      <c r="E417" s="8"/>
      <c r="F417" s="8">
        <v>45324</v>
      </c>
      <c r="G417" s="8">
        <v>45225</v>
      </c>
      <c r="H417" s="2" t="s">
        <v>388</v>
      </c>
    </row>
    <row r="418" spans="1:8" hidden="1">
      <c r="A418" s="2" t="s">
        <v>6</v>
      </c>
      <c r="B418" s="2"/>
      <c r="C418" s="2" t="e">
        <v>#REF!</v>
      </c>
      <c r="D418" s="8">
        <v>45210</v>
      </c>
      <c r="E418" s="8"/>
      <c r="F418" s="8">
        <v>45324</v>
      </c>
      <c r="G418" s="8">
        <v>45225</v>
      </c>
      <c r="H418" s="2" t="s">
        <v>389</v>
      </c>
    </row>
    <row r="419" spans="1:8" hidden="1">
      <c r="A419" s="2" t="s">
        <v>6</v>
      </c>
      <c r="B419" s="2"/>
      <c r="C419" s="2" t="e">
        <v>#REF!</v>
      </c>
      <c r="D419" s="8">
        <v>45210</v>
      </c>
      <c r="E419" s="8"/>
      <c r="F419" s="8">
        <v>45324</v>
      </c>
      <c r="G419" s="8">
        <v>45225</v>
      </c>
      <c r="H419" s="2" t="s">
        <v>390</v>
      </c>
    </row>
    <row r="420" spans="1:8" hidden="1">
      <c r="A420" s="2" t="s">
        <v>6</v>
      </c>
      <c r="B420" s="2"/>
      <c r="C420" s="2" t="e">
        <v>#REF!</v>
      </c>
      <c r="D420" s="8">
        <v>45210</v>
      </c>
      <c r="E420" s="8"/>
      <c r="F420" s="8">
        <v>45216</v>
      </c>
      <c r="G420" s="8">
        <v>45225</v>
      </c>
      <c r="H420" s="2" t="s">
        <v>391</v>
      </c>
    </row>
    <row r="421" spans="1:8" hidden="1">
      <c r="A421" s="2" t="s">
        <v>6</v>
      </c>
      <c r="B421" s="2"/>
      <c r="C421" s="2" t="e">
        <v>#REF!</v>
      </c>
      <c r="D421" s="8">
        <v>45210</v>
      </c>
      <c r="E421" s="8"/>
      <c r="F421" s="8">
        <v>45216</v>
      </c>
      <c r="G421" s="8">
        <v>45225</v>
      </c>
      <c r="H421" s="2" t="s">
        <v>392</v>
      </c>
    </row>
    <row r="422" spans="1:8" hidden="1">
      <c r="A422" s="2" t="s">
        <v>6</v>
      </c>
      <c r="B422" s="2"/>
      <c r="C422" s="2" t="e">
        <v>#REF!</v>
      </c>
      <c r="D422" s="8">
        <v>45210</v>
      </c>
      <c r="E422" s="8"/>
      <c r="F422" s="8">
        <v>45216</v>
      </c>
      <c r="G422" s="8">
        <v>45225</v>
      </c>
      <c r="H422" s="2" t="s">
        <v>393</v>
      </c>
    </row>
    <row r="423" spans="1:8" hidden="1">
      <c r="A423" s="2" t="s">
        <v>6</v>
      </c>
      <c r="B423" s="2"/>
      <c r="C423" s="2" t="e">
        <v>#REF!</v>
      </c>
      <c r="D423" s="8">
        <v>45237</v>
      </c>
      <c r="E423" s="8"/>
      <c r="F423" s="8">
        <v>45271</v>
      </c>
      <c r="G423" s="8">
        <v>45252</v>
      </c>
      <c r="H423" s="2" t="s">
        <v>394</v>
      </c>
    </row>
    <row r="424" spans="1:8" hidden="1">
      <c r="A424" s="2" t="s">
        <v>6</v>
      </c>
      <c r="B424" s="2"/>
      <c r="C424" s="2" t="e">
        <v>#REF!</v>
      </c>
      <c r="D424" s="8">
        <v>45237</v>
      </c>
      <c r="E424" s="8"/>
      <c r="F424" s="8">
        <v>45271</v>
      </c>
      <c r="G424" s="8">
        <v>45252</v>
      </c>
      <c r="H424" s="2" t="s">
        <v>394</v>
      </c>
    </row>
    <row r="425" spans="1:8" hidden="1">
      <c r="A425" s="2" t="s">
        <v>6</v>
      </c>
      <c r="B425" s="2"/>
      <c r="C425" s="2" t="e">
        <v>#REF!</v>
      </c>
      <c r="D425" s="8">
        <v>45237</v>
      </c>
      <c r="E425" s="8"/>
      <c r="F425" s="8">
        <v>45271</v>
      </c>
      <c r="G425" s="8">
        <v>45252</v>
      </c>
      <c r="H425" s="2" t="s">
        <v>395</v>
      </c>
    </row>
    <row r="426" spans="1:8" hidden="1">
      <c r="A426" s="2" t="s">
        <v>6</v>
      </c>
      <c r="B426" s="2"/>
      <c r="C426" s="2" t="e">
        <v>#REF!</v>
      </c>
      <c r="D426" s="8">
        <v>45237</v>
      </c>
      <c r="E426" s="8"/>
      <c r="F426" s="8">
        <v>45271</v>
      </c>
      <c r="G426" s="8">
        <v>45252</v>
      </c>
      <c r="H426" s="2" t="s">
        <v>396</v>
      </c>
    </row>
    <row r="427" spans="1:8" hidden="1">
      <c r="A427" s="2" t="s">
        <v>6</v>
      </c>
      <c r="B427" s="2"/>
      <c r="C427" s="2" t="e">
        <v>#REF!</v>
      </c>
      <c r="D427" s="8">
        <v>45237</v>
      </c>
      <c r="E427" s="8"/>
      <c r="F427" s="8">
        <v>45271</v>
      </c>
      <c r="G427" s="8">
        <v>45252</v>
      </c>
      <c r="H427" s="2" t="s">
        <v>397</v>
      </c>
    </row>
    <row r="428" spans="1:8" hidden="1">
      <c r="A428" s="2" t="s">
        <v>6</v>
      </c>
      <c r="B428" s="2"/>
      <c r="C428" s="2" t="e">
        <v>#REF!</v>
      </c>
      <c r="D428" s="8">
        <v>45237</v>
      </c>
      <c r="E428" s="8"/>
      <c r="F428" s="8">
        <v>45271</v>
      </c>
      <c r="G428" s="8">
        <v>45252</v>
      </c>
      <c r="H428" s="2" t="s">
        <v>397</v>
      </c>
    </row>
    <row r="429" spans="1:8" hidden="1">
      <c r="A429" s="2" t="s">
        <v>6</v>
      </c>
      <c r="B429" s="2"/>
      <c r="C429" s="2" t="e">
        <v>#REF!</v>
      </c>
      <c r="D429" s="8">
        <v>45237</v>
      </c>
      <c r="E429" s="8"/>
      <c r="F429" s="8">
        <v>45271</v>
      </c>
      <c r="G429" s="8">
        <v>45252</v>
      </c>
      <c r="H429" s="2" t="s">
        <v>398</v>
      </c>
    </row>
    <row r="430" spans="1:8" hidden="1">
      <c r="A430" s="2" t="s">
        <v>6</v>
      </c>
      <c r="B430" s="2"/>
      <c r="C430" s="2" t="e">
        <v>#REF!</v>
      </c>
      <c r="D430" s="8">
        <v>45237</v>
      </c>
      <c r="E430" s="8"/>
      <c r="F430" s="8">
        <v>45271</v>
      </c>
      <c r="G430" s="8">
        <v>45252</v>
      </c>
      <c r="H430" s="2" t="s">
        <v>399</v>
      </c>
    </row>
    <row r="431" spans="1:8" hidden="1">
      <c r="A431" s="2" t="s">
        <v>6</v>
      </c>
      <c r="B431" s="2"/>
      <c r="C431" s="2" t="e">
        <v>#REF!</v>
      </c>
      <c r="D431" s="8">
        <v>45223</v>
      </c>
      <c r="E431" s="8"/>
      <c r="F431" s="8">
        <v>45257</v>
      </c>
      <c r="G431" s="8">
        <v>45238</v>
      </c>
      <c r="H431" s="2" t="s">
        <v>400</v>
      </c>
    </row>
    <row r="432" spans="1:8" hidden="1">
      <c r="A432" s="2" t="s">
        <v>6</v>
      </c>
      <c r="B432" s="2"/>
      <c r="C432" s="2" t="e">
        <v>#REF!</v>
      </c>
      <c r="D432" s="8">
        <v>45223</v>
      </c>
      <c r="E432" s="8"/>
      <c r="F432" s="8">
        <v>45257</v>
      </c>
      <c r="G432" s="8">
        <v>45238</v>
      </c>
      <c r="H432" s="2" t="s">
        <v>400</v>
      </c>
    </row>
    <row r="433" spans="1:8" hidden="1">
      <c r="A433" s="2" t="s">
        <v>6</v>
      </c>
      <c r="B433" s="2"/>
      <c r="C433" s="2" t="e">
        <v>#REF!</v>
      </c>
      <c r="D433" s="8">
        <v>45223</v>
      </c>
      <c r="E433" s="8"/>
      <c r="F433" s="8">
        <v>45257</v>
      </c>
      <c r="G433" s="8">
        <v>45238</v>
      </c>
      <c r="H433" s="2" t="s">
        <v>400</v>
      </c>
    </row>
    <row r="434" spans="1:8" hidden="1">
      <c r="A434" s="2" t="s">
        <v>6</v>
      </c>
      <c r="B434" s="2"/>
      <c r="C434" s="2" t="e">
        <v>#REF!</v>
      </c>
      <c r="D434" s="8">
        <v>45223</v>
      </c>
      <c r="E434" s="8"/>
      <c r="F434" s="8">
        <v>45257</v>
      </c>
      <c r="G434" s="8">
        <v>45238</v>
      </c>
      <c r="H434" s="2" t="s">
        <v>401</v>
      </c>
    </row>
    <row r="435" spans="1:8" hidden="1">
      <c r="A435" s="2" t="s">
        <v>6</v>
      </c>
      <c r="B435" s="2"/>
      <c r="C435" s="2" t="e">
        <v>#REF!</v>
      </c>
      <c r="D435" s="8">
        <v>45223</v>
      </c>
      <c r="E435" s="8"/>
      <c r="F435" s="8">
        <v>45257</v>
      </c>
      <c r="G435" s="8">
        <v>45238</v>
      </c>
      <c r="H435" s="2" t="s">
        <v>402</v>
      </c>
    </row>
    <row r="436" spans="1:8" hidden="1">
      <c r="A436" s="2" t="s">
        <v>6</v>
      </c>
      <c r="B436" s="2"/>
      <c r="C436" s="2" t="e">
        <v>#REF!</v>
      </c>
      <c r="D436" s="8">
        <v>45223</v>
      </c>
      <c r="E436" s="8"/>
      <c r="F436" s="8">
        <v>45257</v>
      </c>
      <c r="G436" s="8">
        <v>45238</v>
      </c>
      <c r="H436" s="2" t="s">
        <v>402</v>
      </c>
    </row>
    <row r="437" spans="1:8" hidden="1">
      <c r="A437" s="2" t="s">
        <v>6</v>
      </c>
      <c r="B437" s="2"/>
      <c r="C437" s="2" t="e">
        <v>#REF!</v>
      </c>
      <c r="D437" s="8">
        <v>45223</v>
      </c>
      <c r="E437" s="8"/>
      <c r="F437" s="8">
        <v>45257</v>
      </c>
      <c r="G437" s="8">
        <v>45238</v>
      </c>
      <c r="H437" s="2" t="s">
        <v>403</v>
      </c>
    </row>
    <row r="438" spans="1:8" hidden="1">
      <c r="A438" s="2" t="s">
        <v>6</v>
      </c>
      <c r="B438" s="2"/>
      <c r="C438" s="2" t="e">
        <v>#REF!</v>
      </c>
      <c r="D438" s="8">
        <v>45223</v>
      </c>
      <c r="E438" s="8"/>
      <c r="F438" s="8">
        <v>45257</v>
      </c>
      <c r="G438" s="8">
        <v>45238</v>
      </c>
      <c r="H438" s="2" t="s">
        <v>402</v>
      </c>
    </row>
    <row r="439" spans="1:8" hidden="1">
      <c r="A439" s="2" t="s">
        <v>6</v>
      </c>
      <c r="B439" s="2"/>
      <c r="C439" s="2" t="e">
        <v>#REF!</v>
      </c>
      <c r="D439" s="8">
        <v>45210</v>
      </c>
      <c r="E439" s="8"/>
      <c r="F439" s="8">
        <v>45216</v>
      </c>
      <c r="G439" s="8">
        <v>45225</v>
      </c>
      <c r="H439" s="2" t="s">
        <v>404</v>
      </c>
    </row>
    <row r="440" spans="1:8" hidden="1">
      <c r="A440" s="2" t="s">
        <v>6</v>
      </c>
      <c r="B440" s="2"/>
      <c r="C440" s="2" t="e">
        <v>#REF!</v>
      </c>
      <c r="D440" s="8">
        <v>45210</v>
      </c>
      <c r="E440" s="8"/>
      <c r="F440" s="8">
        <v>45216</v>
      </c>
      <c r="G440" s="8">
        <v>45225</v>
      </c>
      <c r="H440" s="2" t="s">
        <v>405</v>
      </c>
    </row>
    <row r="441" spans="1:8" hidden="1">
      <c r="A441" s="2" t="s">
        <v>6</v>
      </c>
      <c r="B441" s="2"/>
      <c r="C441" s="2" t="e">
        <v>#REF!</v>
      </c>
      <c r="D441" s="8">
        <v>45223</v>
      </c>
      <c r="E441" s="8"/>
      <c r="F441" s="8">
        <v>45292</v>
      </c>
      <c r="G441" s="8">
        <v>45238</v>
      </c>
      <c r="H441" s="2" t="s">
        <v>406</v>
      </c>
    </row>
    <row r="442" spans="1:8" hidden="1">
      <c r="A442" s="2" t="s">
        <v>6</v>
      </c>
      <c r="B442" s="2"/>
      <c r="C442" s="2" t="e">
        <v>#REF!</v>
      </c>
      <c r="D442" s="8">
        <v>45223</v>
      </c>
      <c r="E442" s="8"/>
      <c r="F442" s="8">
        <v>45292</v>
      </c>
      <c r="G442" s="8">
        <v>45238</v>
      </c>
      <c r="H442" s="2" t="s">
        <v>407</v>
      </c>
    </row>
    <row r="443" spans="1:8" hidden="1">
      <c r="A443" s="2" t="s">
        <v>7</v>
      </c>
      <c r="B443" s="2"/>
      <c r="C443" s="2" t="e">
        <v>#REF!</v>
      </c>
      <c r="D443" s="8">
        <v>45200</v>
      </c>
      <c r="E443" s="8"/>
      <c r="F443" s="8">
        <v>45322</v>
      </c>
      <c r="G443" s="8">
        <v>45213</v>
      </c>
      <c r="H443" s="2" t="s">
        <v>241</v>
      </c>
    </row>
    <row r="444" spans="1:8" hidden="1">
      <c r="A444" s="2" t="s">
        <v>4</v>
      </c>
      <c r="B444" s="2"/>
      <c r="C444" s="2" t="e">
        <v>#REF!</v>
      </c>
      <c r="D444" s="8">
        <v>45224</v>
      </c>
      <c r="E444" s="8"/>
      <c r="F444" s="8">
        <v>45251</v>
      </c>
      <c r="G444" s="8">
        <v>45239</v>
      </c>
      <c r="H444" s="2" t="s">
        <v>408</v>
      </c>
    </row>
    <row r="445" spans="1:8" hidden="1">
      <c r="A445" s="2" t="s">
        <v>5</v>
      </c>
      <c r="B445" s="2"/>
      <c r="C445" s="2" t="e">
        <v>#REF!</v>
      </c>
      <c r="D445" s="8">
        <v>45223</v>
      </c>
      <c r="E445" s="8"/>
      <c r="F445" s="8">
        <v>45255</v>
      </c>
      <c r="G445" s="8">
        <v>45238</v>
      </c>
      <c r="H445" s="2" t="s">
        <v>242</v>
      </c>
    </row>
    <row r="446" spans="1:8" hidden="1">
      <c r="A446" s="2" t="s">
        <v>5</v>
      </c>
      <c r="B446" s="2"/>
      <c r="C446" s="2" t="e">
        <v>#REF!</v>
      </c>
      <c r="D446" s="8">
        <v>45223</v>
      </c>
      <c r="E446" s="8"/>
      <c r="F446" s="8">
        <v>45255</v>
      </c>
      <c r="G446" s="8">
        <v>45238</v>
      </c>
      <c r="H446" s="2" t="s">
        <v>242</v>
      </c>
    </row>
    <row r="447" spans="1:8" hidden="1">
      <c r="A447" s="2" t="s">
        <v>5</v>
      </c>
      <c r="B447" s="2"/>
      <c r="C447" s="2" t="e">
        <v>#REF!</v>
      </c>
      <c r="D447" s="8">
        <v>45223</v>
      </c>
      <c r="E447" s="8"/>
      <c r="F447" s="8">
        <v>45255</v>
      </c>
      <c r="G447" s="8">
        <v>45238</v>
      </c>
      <c r="H447" s="2" t="s">
        <v>242</v>
      </c>
    </row>
    <row r="448" spans="1:8" hidden="1">
      <c r="A448" s="2" t="s">
        <v>5</v>
      </c>
      <c r="B448" s="2"/>
      <c r="C448" s="2" t="e">
        <v>#REF!</v>
      </c>
      <c r="D448" s="8">
        <v>45223</v>
      </c>
      <c r="E448" s="8"/>
      <c r="F448" s="8">
        <v>45255</v>
      </c>
      <c r="G448" s="8">
        <v>45238</v>
      </c>
      <c r="H448" s="2" t="s">
        <v>409</v>
      </c>
    </row>
    <row r="449" spans="1:8" hidden="1">
      <c r="A449" s="2" t="s">
        <v>5</v>
      </c>
      <c r="B449" s="2"/>
      <c r="C449" s="2" t="e">
        <v>#REF!</v>
      </c>
      <c r="D449" s="8">
        <v>45223</v>
      </c>
      <c r="E449" s="8"/>
      <c r="F449" s="8">
        <v>45255</v>
      </c>
      <c r="G449" s="8">
        <v>45238</v>
      </c>
      <c r="H449" s="2" t="s">
        <v>409</v>
      </c>
    </row>
    <row r="450" spans="1:8" hidden="1">
      <c r="A450" s="2" t="s">
        <v>5</v>
      </c>
      <c r="B450" s="2"/>
      <c r="C450" s="2" t="e">
        <v>#REF!</v>
      </c>
      <c r="D450" s="8">
        <v>45223</v>
      </c>
      <c r="E450" s="8"/>
      <c r="F450" s="8">
        <v>45255</v>
      </c>
      <c r="G450" s="8">
        <v>45238</v>
      </c>
      <c r="H450" s="2" t="s">
        <v>409</v>
      </c>
    </row>
    <row r="451" spans="1:8" hidden="1">
      <c r="A451" s="2" t="s">
        <v>5</v>
      </c>
      <c r="B451" s="2"/>
      <c r="C451" s="2" t="e">
        <v>#REF!</v>
      </c>
      <c r="D451" s="8">
        <v>45223</v>
      </c>
      <c r="E451" s="8"/>
      <c r="F451" s="8">
        <v>45255</v>
      </c>
      <c r="G451" s="8">
        <v>45238</v>
      </c>
      <c r="H451" s="2" t="s">
        <v>409</v>
      </c>
    </row>
    <row r="452" spans="1:8" hidden="1">
      <c r="A452" s="2" t="s">
        <v>4</v>
      </c>
      <c r="B452" s="2"/>
      <c r="C452" s="2" t="e">
        <v>#REF!</v>
      </c>
      <c r="D452" s="8">
        <v>45224</v>
      </c>
      <c r="E452" s="8"/>
      <c r="F452" s="8">
        <v>45257</v>
      </c>
      <c r="G452" s="8">
        <v>45239</v>
      </c>
      <c r="H452" s="2" t="s">
        <v>410</v>
      </c>
    </row>
    <row r="453" spans="1:8" hidden="1">
      <c r="A453" s="2" t="s">
        <v>4</v>
      </c>
      <c r="B453" s="2"/>
      <c r="C453" s="2" t="e">
        <v>#REF!</v>
      </c>
      <c r="D453" s="8">
        <v>45225</v>
      </c>
      <c r="E453" s="8"/>
      <c r="F453" s="8">
        <v>45251</v>
      </c>
      <c r="G453" s="8">
        <v>45240</v>
      </c>
      <c r="H453" s="2" t="s">
        <v>411</v>
      </c>
    </row>
    <row r="454" spans="1:8" hidden="1">
      <c r="A454" s="2" t="s">
        <v>6</v>
      </c>
      <c r="B454" s="2"/>
      <c r="C454" s="2" t="e">
        <v>#REF!</v>
      </c>
      <c r="D454" s="8">
        <v>45250</v>
      </c>
      <c r="E454" s="8"/>
      <c r="F454" s="8">
        <v>45290</v>
      </c>
      <c r="G454" s="8">
        <v>45265</v>
      </c>
      <c r="H454" s="2" t="s">
        <v>412</v>
      </c>
    </row>
    <row r="455" spans="1:8" hidden="1">
      <c r="A455" s="2" t="s">
        <v>6</v>
      </c>
      <c r="B455" s="2"/>
      <c r="C455" s="2" t="e">
        <v>#REF!</v>
      </c>
      <c r="D455" s="8">
        <v>45250</v>
      </c>
      <c r="E455" s="8"/>
      <c r="F455" s="8">
        <v>45290</v>
      </c>
      <c r="G455" s="8">
        <v>45265</v>
      </c>
      <c r="H455" s="2" t="s">
        <v>412</v>
      </c>
    </row>
    <row r="456" spans="1:8" hidden="1">
      <c r="A456" s="2" t="s">
        <v>6</v>
      </c>
      <c r="B456" s="2"/>
      <c r="C456" s="2" t="e">
        <v>#REF!</v>
      </c>
      <c r="D456" s="8">
        <v>45250</v>
      </c>
      <c r="E456" s="8"/>
      <c r="F456" s="8">
        <v>45290</v>
      </c>
      <c r="G456" s="8">
        <v>45265</v>
      </c>
      <c r="H456" s="2" t="s">
        <v>413</v>
      </c>
    </row>
    <row r="457" spans="1:8" hidden="1">
      <c r="A457" s="2" t="s">
        <v>6</v>
      </c>
      <c r="B457" s="2"/>
      <c r="C457" s="2" t="e">
        <v>#REF!</v>
      </c>
      <c r="D457" s="8">
        <v>45250</v>
      </c>
      <c r="E457" s="8"/>
      <c r="F457" s="8">
        <v>45290</v>
      </c>
      <c r="G457" s="8">
        <v>45265</v>
      </c>
      <c r="H457" s="2" t="s">
        <v>414</v>
      </c>
    </row>
    <row r="458" spans="1:8" hidden="1">
      <c r="A458" s="2" t="s">
        <v>6</v>
      </c>
      <c r="B458" s="2"/>
      <c r="C458" s="2" t="e">
        <v>#REF!</v>
      </c>
      <c r="D458" s="8">
        <v>45237</v>
      </c>
      <c r="E458" s="8"/>
      <c r="F458" s="8">
        <v>45271</v>
      </c>
      <c r="G458" s="8">
        <v>45252</v>
      </c>
      <c r="H458" s="2" t="s">
        <v>415</v>
      </c>
    </row>
    <row r="459" spans="1:8" hidden="1">
      <c r="A459" s="2" t="s">
        <v>6</v>
      </c>
      <c r="B459" s="2"/>
      <c r="C459" s="2" t="e">
        <v>#REF!</v>
      </c>
      <c r="D459" s="8">
        <v>45237</v>
      </c>
      <c r="E459" s="8"/>
      <c r="F459" s="8">
        <v>45271</v>
      </c>
      <c r="G459" s="8">
        <v>45252</v>
      </c>
      <c r="H459" s="2" t="s">
        <v>415</v>
      </c>
    </row>
    <row r="460" spans="1:8" hidden="1">
      <c r="A460" s="2" t="s">
        <v>6</v>
      </c>
      <c r="B460" s="2"/>
      <c r="C460" s="2" t="e">
        <v>#REF!</v>
      </c>
      <c r="D460" s="8">
        <v>45237</v>
      </c>
      <c r="E460" s="8"/>
      <c r="F460" s="8">
        <v>45271</v>
      </c>
      <c r="G460" s="8">
        <v>45252</v>
      </c>
      <c r="H460" s="2" t="s">
        <v>416</v>
      </c>
    </row>
    <row r="461" spans="1:8" hidden="1">
      <c r="A461" s="2" t="s">
        <v>6</v>
      </c>
      <c r="B461" s="2"/>
      <c r="C461" s="2" t="e">
        <v>#REF!</v>
      </c>
      <c r="D461" s="8">
        <v>45237</v>
      </c>
      <c r="E461" s="8"/>
      <c r="F461" s="8">
        <v>45271</v>
      </c>
      <c r="G461" s="8">
        <v>45252</v>
      </c>
      <c r="H461" s="2" t="s">
        <v>417</v>
      </c>
    </row>
    <row r="462" spans="1:8" hidden="1">
      <c r="A462" s="2" t="s">
        <v>4</v>
      </c>
      <c r="B462" s="2"/>
      <c r="C462" s="2" t="s">
        <v>1000</v>
      </c>
      <c r="D462" s="8">
        <v>45244</v>
      </c>
      <c r="E462" s="8"/>
      <c r="F462" s="8">
        <v>45285</v>
      </c>
      <c r="G462" s="8">
        <v>45259</v>
      </c>
      <c r="H462" t="s">
        <v>243</v>
      </c>
    </row>
    <row r="463" spans="1:8" hidden="1">
      <c r="A463" s="2" t="s">
        <v>4</v>
      </c>
      <c r="B463" s="2"/>
      <c r="C463" s="2" t="s">
        <v>1000</v>
      </c>
      <c r="D463" s="8">
        <v>45244</v>
      </c>
      <c r="E463" s="8"/>
      <c r="F463" s="8">
        <v>45285</v>
      </c>
      <c r="G463" s="8">
        <v>45259</v>
      </c>
      <c r="H463" s="2" t="s">
        <v>418</v>
      </c>
    </row>
    <row r="464" spans="1:8" hidden="1">
      <c r="A464" s="2" t="s">
        <v>4</v>
      </c>
      <c r="B464" s="2"/>
      <c r="C464" s="2" t="s">
        <v>999</v>
      </c>
      <c r="D464" s="8">
        <v>45246</v>
      </c>
      <c r="E464" s="8"/>
      <c r="F464" s="8">
        <v>44970</v>
      </c>
      <c r="G464" s="8">
        <v>45261</v>
      </c>
      <c r="H464" s="2" t="s">
        <v>419</v>
      </c>
    </row>
    <row r="465" spans="1:8" hidden="1">
      <c r="A465" s="2" t="s">
        <v>4</v>
      </c>
      <c r="B465" s="2"/>
      <c r="C465" s="2" t="s">
        <v>998</v>
      </c>
      <c r="D465" s="8">
        <v>45252</v>
      </c>
      <c r="E465" s="8"/>
      <c r="F465" s="8">
        <v>45272</v>
      </c>
      <c r="G465" s="8">
        <v>45267</v>
      </c>
      <c r="H465" s="2" t="s">
        <v>420</v>
      </c>
    </row>
    <row r="466" spans="1:8" hidden="1">
      <c r="A466" s="2" t="s">
        <v>5</v>
      </c>
      <c r="B466" s="2"/>
      <c r="C466" s="2" t="s">
        <v>258</v>
      </c>
      <c r="D466" s="8">
        <v>45250</v>
      </c>
      <c r="E466" s="8"/>
      <c r="F466" s="8">
        <v>45285</v>
      </c>
      <c r="G466" s="8">
        <v>45265</v>
      </c>
      <c r="H466" s="2" t="s">
        <v>421</v>
      </c>
    </row>
    <row r="467" spans="1:8" hidden="1">
      <c r="A467" s="2" t="s">
        <v>5</v>
      </c>
      <c r="B467" s="2"/>
      <c r="C467" s="2" t="s">
        <v>258</v>
      </c>
      <c r="D467" s="8">
        <v>45250</v>
      </c>
      <c r="E467" s="8"/>
      <c r="F467" s="8">
        <v>45285</v>
      </c>
      <c r="G467" s="8">
        <v>45265</v>
      </c>
      <c r="H467" s="2" t="s">
        <v>422</v>
      </c>
    </row>
    <row r="468" spans="1:8" hidden="1">
      <c r="A468" s="2" t="s">
        <v>5</v>
      </c>
      <c r="B468" s="2"/>
      <c r="C468" s="2" t="s">
        <v>258</v>
      </c>
      <c r="D468" s="8">
        <v>45257</v>
      </c>
      <c r="E468" s="8"/>
      <c r="F468" s="8">
        <v>45277</v>
      </c>
      <c r="G468" s="8">
        <v>45272</v>
      </c>
      <c r="H468" s="2" t="s">
        <v>423</v>
      </c>
    </row>
    <row r="469" spans="1:8" hidden="1">
      <c r="A469" s="2" t="s">
        <v>5</v>
      </c>
      <c r="B469" s="2"/>
      <c r="C469" s="2" t="s">
        <v>258</v>
      </c>
      <c r="D469" s="8">
        <v>45257</v>
      </c>
      <c r="E469" s="8"/>
      <c r="F469" s="8">
        <v>45277</v>
      </c>
      <c r="G469" s="8">
        <v>45272</v>
      </c>
      <c r="H469" s="2" t="s">
        <v>423</v>
      </c>
    </row>
    <row r="470" spans="1:8" hidden="1">
      <c r="A470" s="2" t="s">
        <v>5</v>
      </c>
      <c r="B470" s="2"/>
      <c r="C470" s="2" t="s">
        <v>258</v>
      </c>
      <c r="D470" s="8">
        <v>45257</v>
      </c>
      <c r="E470" s="8"/>
      <c r="F470" s="8">
        <v>45277</v>
      </c>
      <c r="G470" s="8">
        <v>45272</v>
      </c>
      <c r="H470" s="2" t="s">
        <v>424</v>
      </c>
    </row>
    <row r="471" spans="1:8" hidden="1">
      <c r="A471" s="2" t="s">
        <v>5</v>
      </c>
      <c r="B471" s="2"/>
      <c r="C471" s="2" t="s">
        <v>258</v>
      </c>
      <c r="D471" s="8">
        <v>45257</v>
      </c>
      <c r="E471" s="8"/>
      <c r="F471" s="8">
        <v>45277</v>
      </c>
      <c r="G471" s="8">
        <v>45272</v>
      </c>
      <c r="H471" s="2" t="s">
        <v>425</v>
      </c>
    </row>
    <row r="472" spans="1:8" hidden="1">
      <c r="A472" s="2" t="s">
        <v>5</v>
      </c>
      <c r="B472" s="2"/>
      <c r="C472" s="2" t="s">
        <v>258</v>
      </c>
      <c r="D472" s="8">
        <v>45257</v>
      </c>
      <c r="E472" s="8"/>
      <c r="F472" s="8">
        <v>45277</v>
      </c>
      <c r="G472" s="8">
        <v>45272</v>
      </c>
      <c r="H472" s="2" t="s">
        <v>425</v>
      </c>
    </row>
    <row r="473" spans="1:8" hidden="1">
      <c r="A473" s="2" t="s">
        <v>5</v>
      </c>
      <c r="B473" s="2"/>
      <c r="C473" s="2" t="s">
        <v>258</v>
      </c>
      <c r="D473" s="8">
        <v>45257</v>
      </c>
      <c r="E473" s="8"/>
      <c r="F473" s="8">
        <v>45277</v>
      </c>
      <c r="G473" s="8">
        <v>45272</v>
      </c>
      <c r="H473" s="2" t="s">
        <v>426</v>
      </c>
    </row>
    <row r="474" spans="1:8" hidden="1">
      <c r="A474" s="2" t="s">
        <v>5</v>
      </c>
      <c r="B474" s="2"/>
      <c r="C474" s="2" t="s">
        <v>258</v>
      </c>
      <c r="D474" s="8">
        <v>45250</v>
      </c>
      <c r="E474" s="8"/>
      <c r="F474" s="8">
        <v>45285</v>
      </c>
      <c r="G474" s="8">
        <v>45265</v>
      </c>
      <c r="H474" s="2" t="s">
        <v>427</v>
      </c>
    </row>
    <row r="475" spans="1:8" hidden="1">
      <c r="A475" s="2" t="s">
        <v>5</v>
      </c>
      <c r="B475" s="2"/>
      <c r="C475" s="2" t="s">
        <v>1002</v>
      </c>
      <c r="D475" s="8">
        <v>45250</v>
      </c>
      <c r="E475" s="8"/>
      <c r="F475" s="8">
        <v>45285</v>
      </c>
      <c r="G475" s="8">
        <v>45265</v>
      </c>
      <c r="H475" s="2" t="s">
        <v>428</v>
      </c>
    </row>
    <row r="476" spans="1:8" hidden="1">
      <c r="A476" s="2" t="s">
        <v>5</v>
      </c>
      <c r="B476" s="2"/>
      <c r="C476" s="2" t="s">
        <v>1002</v>
      </c>
      <c r="D476" s="8">
        <v>45250</v>
      </c>
      <c r="E476" s="8"/>
      <c r="F476" s="8">
        <v>45285</v>
      </c>
      <c r="G476" s="8">
        <v>45265</v>
      </c>
      <c r="H476" s="2" t="s">
        <v>429</v>
      </c>
    </row>
    <row r="477" spans="1:8" hidden="1">
      <c r="A477" s="2" t="s">
        <v>5</v>
      </c>
      <c r="B477" s="2"/>
      <c r="C477" s="2" t="s">
        <v>1002</v>
      </c>
      <c r="D477" s="8">
        <v>45250</v>
      </c>
      <c r="E477" s="8"/>
      <c r="F477" s="8">
        <v>45285</v>
      </c>
      <c r="G477" s="8">
        <v>45265</v>
      </c>
      <c r="H477" s="2" t="s">
        <v>430</v>
      </c>
    </row>
    <row r="478" spans="1:8" hidden="1">
      <c r="A478" s="2" t="s">
        <v>5</v>
      </c>
      <c r="B478" s="2"/>
      <c r="C478" s="2" t="s">
        <v>1002</v>
      </c>
      <c r="D478" s="8">
        <v>45250</v>
      </c>
      <c r="E478" s="8"/>
      <c r="F478" s="8">
        <v>45285</v>
      </c>
      <c r="G478" s="8">
        <v>45265</v>
      </c>
      <c r="H478" s="2" t="s">
        <v>431</v>
      </c>
    </row>
    <row r="479" spans="1:8" hidden="1">
      <c r="A479" s="2" t="s">
        <v>5</v>
      </c>
      <c r="B479" s="2"/>
      <c r="C479" s="2" t="s">
        <v>1002</v>
      </c>
      <c r="D479" s="8">
        <v>45252</v>
      </c>
      <c r="E479" s="8"/>
      <c r="F479" s="8">
        <v>45285</v>
      </c>
      <c r="G479" s="8">
        <v>45267</v>
      </c>
      <c r="H479" s="2" t="s">
        <v>432</v>
      </c>
    </row>
    <row r="480" spans="1:8" hidden="1">
      <c r="A480" s="2" t="s">
        <v>5</v>
      </c>
      <c r="B480" s="2"/>
      <c r="C480" s="2" t="s">
        <v>1002</v>
      </c>
      <c r="D480" s="8">
        <v>45250</v>
      </c>
      <c r="E480" s="8"/>
      <c r="F480" s="8">
        <v>45285</v>
      </c>
      <c r="G480" s="8">
        <v>45265</v>
      </c>
      <c r="H480" s="2" t="s">
        <v>433</v>
      </c>
    </row>
    <row r="481" spans="1:8" hidden="1">
      <c r="A481" s="2" t="s">
        <v>5</v>
      </c>
      <c r="B481" s="2"/>
      <c r="C481" s="2" t="s">
        <v>1002</v>
      </c>
      <c r="D481" s="8">
        <v>45250</v>
      </c>
      <c r="E481" s="8"/>
      <c r="F481" s="8">
        <v>45285</v>
      </c>
      <c r="G481" s="8">
        <v>45265</v>
      </c>
      <c r="H481" s="2" t="s">
        <v>433</v>
      </c>
    </row>
    <row r="482" spans="1:8" hidden="1">
      <c r="A482" s="2" t="s">
        <v>5</v>
      </c>
      <c r="B482" s="2"/>
      <c r="C482" s="2" t="s">
        <v>1002</v>
      </c>
      <c r="D482" s="8">
        <v>45250</v>
      </c>
      <c r="E482" s="8"/>
      <c r="F482" s="8">
        <v>45285</v>
      </c>
      <c r="G482" s="8">
        <v>45265</v>
      </c>
      <c r="H482" s="2" t="s">
        <v>433</v>
      </c>
    </row>
    <row r="483" spans="1:8" hidden="1">
      <c r="A483" s="2" t="s">
        <v>5</v>
      </c>
      <c r="B483" s="2"/>
      <c r="C483" s="2" t="s">
        <v>1002</v>
      </c>
      <c r="D483" s="8">
        <v>45250</v>
      </c>
      <c r="E483" s="8"/>
      <c r="F483" s="8">
        <v>45285</v>
      </c>
      <c r="G483" s="8">
        <v>45265</v>
      </c>
      <c r="H483" s="2" t="s">
        <v>434</v>
      </c>
    </row>
    <row r="484" spans="1:8" hidden="1">
      <c r="A484" s="2" t="s">
        <v>5</v>
      </c>
      <c r="B484" s="2"/>
      <c r="C484" s="2" t="s">
        <v>1002</v>
      </c>
      <c r="D484" s="8">
        <v>45250</v>
      </c>
      <c r="E484" s="8"/>
      <c r="F484" s="8">
        <v>45285</v>
      </c>
      <c r="G484" s="8">
        <v>45265</v>
      </c>
      <c r="H484" s="2" t="s">
        <v>435</v>
      </c>
    </row>
    <row r="485" spans="1:8" hidden="1">
      <c r="A485" s="2" t="s">
        <v>5</v>
      </c>
      <c r="B485" s="2"/>
      <c r="C485" s="2" t="s">
        <v>1002</v>
      </c>
      <c r="D485" s="8">
        <v>45250</v>
      </c>
      <c r="E485" s="8"/>
      <c r="F485" s="8">
        <v>45285</v>
      </c>
      <c r="G485" s="8">
        <v>45265</v>
      </c>
      <c r="H485" s="2" t="s">
        <v>436</v>
      </c>
    </row>
    <row r="486" spans="1:8" hidden="1">
      <c r="A486" s="2" t="s">
        <v>5</v>
      </c>
      <c r="B486" s="2"/>
      <c r="C486" s="2" t="s">
        <v>1002</v>
      </c>
      <c r="D486" s="8">
        <v>45250</v>
      </c>
      <c r="E486" s="8"/>
      <c r="F486" s="8">
        <v>45285</v>
      </c>
      <c r="G486" s="8">
        <v>45265</v>
      </c>
      <c r="H486" s="2" t="s">
        <v>436</v>
      </c>
    </row>
    <row r="487" spans="1:8" hidden="1">
      <c r="A487" s="2" t="s">
        <v>5</v>
      </c>
      <c r="B487" s="2"/>
      <c r="C487" s="2" t="s">
        <v>1002</v>
      </c>
      <c r="D487" s="8">
        <v>45250</v>
      </c>
      <c r="E487" s="8"/>
      <c r="F487" s="8">
        <v>45285</v>
      </c>
      <c r="G487" s="8">
        <v>45265</v>
      </c>
      <c r="H487" s="2" t="s">
        <v>436</v>
      </c>
    </row>
    <row r="488" spans="1:8" hidden="1">
      <c r="A488" s="2" t="s">
        <v>5</v>
      </c>
      <c r="B488" s="2"/>
      <c r="C488" s="2" t="s">
        <v>1002</v>
      </c>
      <c r="D488" s="8">
        <v>45250</v>
      </c>
      <c r="E488" s="8"/>
      <c r="F488" s="8">
        <v>45285</v>
      </c>
      <c r="G488" s="8">
        <v>45265</v>
      </c>
      <c r="H488" s="2" t="s">
        <v>437</v>
      </c>
    </row>
    <row r="489" spans="1:8" hidden="1">
      <c r="A489" s="2" t="s">
        <v>5</v>
      </c>
      <c r="B489" s="2"/>
      <c r="C489" s="2" t="s">
        <v>1002</v>
      </c>
      <c r="D489" s="8">
        <v>45250</v>
      </c>
      <c r="E489" s="8"/>
      <c r="F489" s="8">
        <v>45285</v>
      </c>
      <c r="G489" s="8">
        <v>45265</v>
      </c>
      <c r="H489" s="2" t="s">
        <v>438</v>
      </c>
    </row>
    <row r="490" spans="1:8" hidden="1">
      <c r="A490" s="2" t="s">
        <v>4</v>
      </c>
      <c r="B490" s="2"/>
      <c r="C490" s="2" t="s">
        <v>1001</v>
      </c>
      <c r="D490" s="8">
        <v>45246</v>
      </c>
      <c r="E490" s="8"/>
      <c r="F490" s="8">
        <v>45285</v>
      </c>
      <c r="G490" s="8">
        <v>45261</v>
      </c>
      <c r="H490" s="2" t="s">
        <v>439</v>
      </c>
    </row>
    <row r="491" spans="1:8" hidden="1">
      <c r="A491" s="2" t="s">
        <v>5</v>
      </c>
      <c r="B491" s="2"/>
      <c r="C491" s="2" t="s">
        <v>1003</v>
      </c>
      <c r="D491" s="8">
        <v>45250</v>
      </c>
      <c r="E491" s="8"/>
      <c r="F491" s="8">
        <v>45290</v>
      </c>
      <c r="G491" s="8">
        <v>45265</v>
      </c>
      <c r="H491" s="2" t="s">
        <v>440</v>
      </c>
    </row>
    <row r="492" spans="1:8" hidden="1">
      <c r="A492" s="2" t="s">
        <v>5</v>
      </c>
      <c r="B492" s="2"/>
      <c r="C492" s="2" t="s">
        <v>1003</v>
      </c>
      <c r="D492" s="8">
        <v>45250</v>
      </c>
      <c r="E492" s="8"/>
      <c r="F492" s="8">
        <v>45290</v>
      </c>
      <c r="G492" s="8">
        <v>45265</v>
      </c>
      <c r="H492" s="2" t="s">
        <v>440</v>
      </c>
    </row>
    <row r="493" spans="1:8" hidden="1">
      <c r="A493" s="2" t="s">
        <v>5</v>
      </c>
      <c r="B493" s="2"/>
      <c r="C493" s="2" t="s">
        <v>1003</v>
      </c>
      <c r="D493" s="8">
        <v>45250</v>
      </c>
      <c r="E493" s="8"/>
      <c r="F493" s="8">
        <v>45290</v>
      </c>
      <c r="G493" s="8">
        <v>45265</v>
      </c>
      <c r="H493" s="2" t="s">
        <v>440</v>
      </c>
    </row>
    <row r="494" spans="1:8" hidden="1">
      <c r="A494" s="2" t="s">
        <v>5</v>
      </c>
      <c r="B494" s="2"/>
      <c r="C494" s="2" t="s">
        <v>1003</v>
      </c>
      <c r="D494" s="8">
        <v>45250</v>
      </c>
      <c r="E494" s="8"/>
      <c r="F494" s="8">
        <v>45290</v>
      </c>
      <c r="G494" s="8">
        <v>45265</v>
      </c>
      <c r="H494" s="2" t="s">
        <v>440</v>
      </c>
    </row>
    <row r="495" spans="1:8" hidden="1">
      <c r="A495" s="2" t="s">
        <v>5</v>
      </c>
      <c r="B495" s="2"/>
      <c r="C495" s="2" t="s">
        <v>1003</v>
      </c>
      <c r="D495" s="8">
        <v>45250</v>
      </c>
      <c r="E495" s="8"/>
      <c r="F495" s="8">
        <v>45290</v>
      </c>
      <c r="G495" s="8">
        <v>45265</v>
      </c>
      <c r="H495" s="2" t="s">
        <v>440</v>
      </c>
    </row>
    <row r="496" spans="1:8" hidden="1">
      <c r="A496" s="2" t="s">
        <v>5</v>
      </c>
      <c r="B496" s="2"/>
      <c r="C496" s="2" t="s">
        <v>1003</v>
      </c>
      <c r="D496" s="8">
        <v>45250</v>
      </c>
      <c r="E496" s="8"/>
      <c r="F496" s="8">
        <v>45290</v>
      </c>
      <c r="G496" s="8">
        <v>45265</v>
      </c>
      <c r="H496" s="2" t="s">
        <v>440</v>
      </c>
    </row>
    <row r="497" spans="1:8" hidden="1">
      <c r="A497" s="2" t="s">
        <v>5</v>
      </c>
      <c r="B497" s="2"/>
      <c r="C497" s="2" t="s">
        <v>1003</v>
      </c>
      <c r="D497" s="8">
        <v>45250</v>
      </c>
      <c r="E497" s="8"/>
      <c r="F497" s="8">
        <v>45290</v>
      </c>
      <c r="G497" s="8">
        <v>45265</v>
      </c>
      <c r="H497" s="2" t="s">
        <v>441</v>
      </c>
    </row>
    <row r="498" spans="1:8" hidden="1">
      <c r="A498" s="2" t="s">
        <v>5</v>
      </c>
      <c r="B498" s="2"/>
      <c r="C498" s="2" t="s">
        <v>1003</v>
      </c>
      <c r="D498" s="8">
        <v>45250</v>
      </c>
      <c r="E498" s="8"/>
      <c r="F498" s="8">
        <v>45290</v>
      </c>
      <c r="G498" s="8">
        <v>45265</v>
      </c>
      <c r="H498" s="2" t="s">
        <v>441</v>
      </c>
    </row>
    <row r="499" spans="1:8" hidden="1">
      <c r="A499" s="2" t="s">
        <v>5</v>
      </c>
      <c r="B499" s="2"/>
      <c r="C499" s="2" t="s">
        <v>1003</v>
      </c>
      <c r="D499" s="8">
        <v>45250</v>
      </c>
      <c r="E499" s="8"/>
      <c r="F499" s="8">
        <v>45290</v>
      </c>
      <c r="G499" s="8">
        <v>45265</v>
      </c>
      <c r="H499" s="2" t="s">
        <v>441</v>
      </c>
    </row>
    <row r="500" spans="1:8" hidden="1">
      <c r="A500" s="2" t="s">
        <v>5</v>
      </c>
      <c r="B500" s="2"/>
      <c r="C500" s="2" t="s">
        <v>1003</v>
      </c>
      <c r="D500" s="8">
        <v>45250</v>
      </c>
      <c r="E500" s="8"/>
      <c r="F500" s="8">
        <v>45290</v>
      </c>
      <c r="G500" s="8">
        <v>45265</v>
      </c>
      <c r="H500" s="2" t="s">
        <v>441</v>
      </c>
    </row>
    <row r="501" spans="1:8" hidden="1">
      <c r="A501" s="2" t="s">
        <v>5</v>
      </c>
      <c r="B501" s="2"/>
      <c r="C501" s="2" t="s">
        <v>1003</v>
      </c>
      <c r="D501" s="8">
        <v>45250</v>
      </c>
      <c r="E501" s="8"/>
      <c r="F501" s="8">
        <v>45290</v>
      </c>
      <c r="G501" s="8">
        <v>45265</v>
      </c>
      <c r="H501" s="2" t="s">
        <v>441</v>
      </c>
    </row>
    <row r="502" spans="1:8" hidden="1">
      <c r="A502" s="2" t="s">
        <v>5</v>
      </c>
      <c r="B502" s="2"/>
      <c r="C502" s="2" t="s">
        <v>1004</v>
      </c>
      <c r="D502" s="8">
        <v>45247</v>
      </c>
      <c r="E502" s="8"/>
      <c r="F502" s="8">
        <v>45291</v>
      </c>
      <c r="G502" s="8">
        <v>45262</v>
      </c>
      <c r="H502" s="2" t="s">
        <v>442</v>
      </c>
    </row>
    <row r="503" spans="1:8" hidden="1">
      <c r="A503" s="2" t="s">
        <v>5</v>
      </c>
      <c r="B503" s="2"/>
      <c r="C503" s="2" t="s">
        <v>1004</v>
      </c>
      <c r="D503" s="8">
        <v>45247</v>
      </c>
      <c r="E503" s="8"/>
      <c r="F503" s="8">
        <v>45291</v>
      </c>
      <c r="G503" s="8">
        <v>45262</v>
      </c>
      <c r="H503" s="2" t="s">
        <v>443</v>
      </c>
    </row>
    <row r="504" spans="1:8" hidden="1">
      <c r="A504" s="2" t="s">
        <v>4</v>
      </c>
      <c r="B504" s="2"/>
      <c r="C504" s="2" t="s">
        <v>1005</v>
      </c>
      <c r="D504" s="8">
        <v>45258</v>
      </c>
      <c r="E504" s="8"/>
      <c r="F504" s="8">
        <v>45284</v>
      </c>
      <c r="G504" s="8">
        <v>45273</v>
      </c>
      <c r="H504" s="2" t="s">
        <v>444</v>
      </c>
    </row>
    <row r="505" spans="1:8" hidden="1">
      <c r="A505" s="2" t="s">
        <v>4</v>
      </c>
      <c r="B505" s="2"/>
      <c r="C505" s="2" t="s">
        <v>1005</v>
      </c>
      <c r="D505" s="8">
        <v>45258</v>
      </c>
      <c r="E505" s="8"/>
      <c r="F505" s="8">
        <v>45284</v>
      </c>
      <c r="G505" s="8">
        <v>45273</v>
      </c>
      <c r="H505" s="2" t="s">
        <v>445</v>
      </c>
    </row>
    <row r="506" spans="1:8" hidden="1">
      <c r="A506" s="2" t="s">
        <v>4</v>
      </c>
      <c r="B506" s="2"/>
      <c r="C506" s="2" t="s">
        <v>1005</v>
      </c>
      <c r="D506" s="8">
        <v>45258</v>
      </c>
      <c r="E506" s="8"/>
      <c r="F506" s="8">
        <v>45284</v>
      </c>
      <c r="G506" s="8">
        <v>45273</v>
      </c>
      <c r="H506" s="2" t="s">
        <v>446</v>
      </c>
    </row>
    <row r="507" spans="1:8" hidden="1">
      <c r="A507" s="2" t="s">
        <v>6</v>
      </c>
      <c r="B507" s="2"/>
      <c r="C507" s="2" t="s">
        <v>1006</v>
      </c>
      <c r="D507" s="8">
        <v>45258</v>
      </c>
      <c r="E507" s="8"/>
      <c r="F507" s="8">
        <v>45323</v>
      </c>
      <c r="G507" s="8">
        <v>45273</v>
      </c>
      <c r="H507" s="2" t="s">
        <v>447</v>
      </c>
    </row>
    <row r="508" spans="1:8" hidden="1">
      <c r="A508" s="2" t="s">
        <v>5</v>
      </c>
      <c r="B508" s="2"/>
      <c r="C508" s="2" t="s">
        <v>1007</v>
      </c>
      <c r="D508" s="8">
        <v>45286</v>
      </c>
      <c r="E508" s="8"/>
      <c r="F508" s="8">
        <v>45322</v>
      </c>
      <c r="G508" s="8">
        <v>45301</v>
      </c>
      <c r="H508" s="2" t="s">
        <v>448</v>
      </c>
    </row>
    <row r="509" spans="1:8" hidden="1">
      <c r="A509" s="2" t="s">
        <v>5</v>
      </c>
      <c r="B509" s="2"/>
      <c r="C509" s="2" t="s">
        <v>1007</v>
      </c>
      <c r="D509" s="8">
        <v>45286</v>
      </c>
      <c r="E509" s="8"/>
      <c r="F509" s="8">
        <v>45322</v>
      </c>
      <c r="G509" s="8">
        <v>45301</v>
      </c>
      <c r="H509" s="2" t="s">
        <v>448</v>
      </c>
    </row>
    <row r="510" spans="1:8" hidden="1">
      <c r="A510" s="2" t="s">
        <v>5</v>
      </c>
      <c r="B510" s="2"/>
      <c r="C510" s="2" t="s">
        <v>1007</v>
      </c>
      <c r="D510" s="8">
        <v>45286</v>
      </c>
      <c r="E510" s="8"/>
      <c r="F510" s="8">
        <v>45322</v>
      </c>
      <c r="G510" s="8">
        <v>45301</v>
      </c>
      <c r="H510" s="2" t="s">
        <v>448</v>
      </c>
    </row>
    <row r="511" spans="1:8" hidden="1">
      <c r="A511" s="2" t="s">
        <v>5</v>
      </c>
      <c r="B511" s="2"/>
      <c r="C511" s="2" t="s">
        <v>1007</v>
      </c>
      <c r="D511" s="8">
        <v>45286</v>
      </c>
      <c r="E511" s="8"/>
      <c r="F511" s="8">
        <v>45322</v>
      </c>
      <c r="G511" s="8">
        <v>45301</v>
      </c>
      <c r="H511" s="2" t="s">
        <v>448</v>
      </c>
    </row>
    <row r="512" spans="1:8" hidden="1">
      <c r="A512" s="2" t="s">
        <v>5</v>
      </c>
      <c r="B512" s="2"/>
      <c r="C512" s="2" t="s">
        <v>1007</v>
      </c>
      <c r="D512" s="8">
        <v>45286</v>
      </c>
      <c r="E512" s="8"/>
      <c r="F512" s="8">
        <v>45322</v>
      </c>
      <c r="G512" s="8">
        <v>45301</v>
      </c>
      <c r="H512" s="2" t="s">
        <v>449</v>
      </c>
    </row>
    <row r="513" spans="1:8" hidden="1">
      <c r="A513" s="2" t="s">
        <v>5</v>
      </c>
      <c r="B513" s="2"/>
      <c r="C513" s="2" t="s">
        <v>1007</v>
      </c>
      <c r="D513" s="8">
        <v>45286</v>
      </c>
      <c r="E513" s="8"/>
      <c r="F513" s="8">
        <v>45322</v>
      </c>
      <c r="G513" s="8">
        <v>45301</v>
      </c>
      <c r="H513" s="2" t="s">
        <v>450</v>
      </c>
    </row>
    <row r="514" spans="1:8" hidden="1">
      <c r="A514" s="2" t="s">
        <v>6</v>
      </c>
      <c r="B514" s="2"/>
      <c r="C514" s="2" t="s">
        <v>1008</v>
      </c>
      <c r="D514" s="8">
        <v>45250</v>
      </c>
      <c r="E514" s="8"/>
      <c r="F514" s="8">
        <v>45291</v>
      </c>
      <c r="G514" s="8">
        <v>45265</v>
      </c>
      <c r="H514" s="2" t="s">
        <v>451</v>
      </c>
    </row>
    <row r="515" spans="1:8" hidden="1">
      <c r="A515" s="2" t="s">
        <v>6</v>
      </c>
      <c r="B515" s="2"/>
      <c r="C515" s="2" t="s">
        <v>1008</v>
      </c>
      <c r="D515" s="8">
        <v>45250</v>
      </c>
      <c r="E515" s="8"/>
      <c r="F515" s="8">
        <v>45291</v>
      </c>
      <c r="G515" s="8">
        <v>45265</v>
      </c>
      <c r="H515" s="2" t="s">
        <v>452</v>
      </c>
    </row>
    <row r="516" spans="1:8" hidden="1">
      <c r="A516" s="2" t="s">
        <v>6</v>
      </c>
      <c r="B516" s="2"/>
      <c r="C516" s="2" t="s">
        <v>1008</v>
      </c>
      <c r="D516" s="8">
        <v>45250</v>
      </c>
      <c r="E516" s="8"/>
      <c r="F516" s="8">
        <v>45291</v>
      </c>
      <c r="G516" s="8">
        <v>45265</v>
      </c>
      <c r="H516" s="2" t="s">
        <v>453</v>
      </c>
    </row>
    <row r="517" spans="1:8" hidden="1">
      <c r="A517" s="2" t="s">
        <v>6</v>
      </c>
      <c r="B517" s="2"/>
      <c r="C517" s="2" t="s">
        <v>1008</v>
      </c>
      <c r="D517" s="8">
        <v>45250</v>
      </c>
      <c r="E517" s="8"/>
      <c r="F517" s="8">
        <v>45291</v>
      </c>
      <c r="G517" s="8">
        <v>45265</v>
      </c>
      <c r="H517" s="2" t="s">
        <v>454</v>
      </c>
    </row>
    <row r="518" spans="1:8" hidden="1">
      <c r="A518" s="2" t="s">
        <v>6</v>
      </c>
      <c r="B518" s="2"/>
      <c r="C518" s="2" t="s">
        <v>1008</v>
      </c>
      <c r="D518" s="8">
        <v>45250</v>
      </c>
      <c r="E518" s="8"/>
      <c r="F518" s="8">
        <v>45291</v>
      </c>
      <c r="G518" s="8">
        <v>45265</v>
      </c>
      <c r="H518" s="2" t="s">
        <v>455</v>
      </c>
    </row>
    <row r="519" spans="1:8" hidden="1">
      <c r="A519" s="2" t="s">
        <v>6</v>
      </c>
      <c r="B519" s="2"/>
      <c r="C519" s="2" t="s">
        <v>1008</v>
      </c>
      <c r="D519" s="8">
        <v>45250</v>
      </c>
      <c r="E519" s="8"/>
      <c r="F519" s="8">
        <v>45291</v>
      </c>
      <c r="G519" s="8">
        <v>45265</v>
      </c>
      <c r="H519" s="2" t="s">
        <v>456</v>
      </c>
    </row>
    <row r="520" spans="1:8" hidden="1">
      <c r="A520" s="2" t="s">
        <v>5</v>
      </c>
      <c r="B520" s="2"/>
      <c r="C520" s="2" t="s">
        <v>254</v>
      </c>
      <c r="D520" s="8">
        <v>45295</v>
      </c>
      <c r="E520" s="8"/>
      <c r="F520" s="8">
        <v>45321</v>
      </c>
      <c r="G520" s="8">
        <v>45310</v>
      </c>
      <c r="H520" s="4" t="s">
        <v>1166</v>
      </c>
    </row>
    <row r="521" spans="1:8" hidden="1">
      <c r="A521" s="2" t="s">
        <v>5</v>
      </c>
      <c r="B521" s="2"/>
      <c r="C521" s="2" t="s">
        <v>254</v>
      </c>
      <c r="D521" s="8">
        <v>45295</v>
      </c>
      <c r="E521" s="8"/>
      <c r="F521" s="8">
        <v>45321</v>
      </c>
      <c r="G521" s="8">
        <v>45310</v>
      </c>
      <c r="H521" s="4" t="s">
        <v>1166</v>
      </c>
    </row>
    <row r="522" spans="1:8" hidden="1">
      <c r="A522" s="2" t="s">
        <v>5</v>
      </c>
      <c r="B522" s="2"/>
      <c r="C522" s="2" t="s">
        <v>254</v>
      </c>
      <c r="D522" s="8">
        <v>45295</v>
      </c>
      <c r="E522" s="8"/>
      <c r="F522" s="8">
        <v>45321</v>
      </c>
      <c r="G522" s="8">
        <v>45310</v>
      </c>
      <c r="H522" s="4" t="s">
        <v>1166</v>
      </c>
    </row>
    <row r="523" spans="1:8" hidden="1">
      <c r="A523" s="2" t="s">
        <v>5</v>
      </c>
      <c r="B523" s="2"/>
      <c r="C523" s="2" t="s">
        <v>254</v>
      </c>
      <c r="D523" s="8">
        <v>45295</v>
      </c>
      <c r="E523" s="8"/>
      <c r="F523" s="8">
        <v>45321</v>
      </c>
      <c r="G523" s="8">
        <v>45310</v>
      </c>
      <c r="H523" s="4" t="s">
        <v>1167</v>
      </c>
    </row>
    <row r="524" spans="1:8" hidden="1">
      <c r="A524" s="2" t="s">
        <v>5</v>
      </c>
      <c r="B524" s="2"/>
      <c r="C524" s="2" t="s">
        <v>254</v>
      </c>
      <c r="D524" s="8">
        <v>45295</v>
      </c>
      <c r="E524" s="8"/>
      <c r="F524" s="8">
        <v>45321</v>
      </c>
      <c r="G524" s="8">
        <v>45310</v>
      </c>
      <c r="H524" s="4" t="s">
        <v>1168</v>
      </c>
    </row>
    <row r="525" spans="1:8" hidden="1">
      <c r="A525" s="2" t="s">
        <v>5</v>
      </c>
      <c r="B525" s="2"/>
      <c r="C525" s="2" t="s">
        <v>254</v>
      </c>
      <c r="D525" s="8">
        <v>45295</v>
      </c>
      <c r="E525" s="8"/>
      <c r="F525" s="8">
        <v>45321</v>
      </c>
      <c r="G525" s="8">
        <v>45310</v>
      </c>
      <c r="H525" s="4" t="s">
        <v>1168</v>
      </c>
    </row>
    <row r="526" spans="1:8" hidden="1">
      <c r="A526" s="2" t="s">
        <v>5</v>
      </c>
      <c r="B526" s="2"/>
      <c r="C526" s="2" t="s">
        <v>254</v>
      </c>
      <c r="D526" s="8">
        <v>45295</v>
      </c>
      <c r="E526" s="8"/>
      <c r="F526" s="8">
        <v>45321</v>
      </c>
      <c r="G526" s="8">
        <v>45310</v>
      </c>
      <c r="H526" s="4" t="s">
        <v>1168</v>
      </c>
    </row>
    <row r="527" spans="1:8" hidden="1">
      <c r="A527" s="2" t="s">
        <v>5</v>
      </c>
      <c r="B527" s="2"/>
      <c r="C527" s="2" t="s">
        <v>254</v>
      </c>
      <c r="D527" s="8">
        <v>45295</v>
      </c>
      <c r="E527" s="8"/>
      <c r="F527" s="8">
        <v>45321</v>
      </c>
      <c r="G527" s="8">
        <v>45310</v>
      </c>
      <c r="H527" s="4" t="s">
        <v>1169</v>
      </c>
    </row>
    <row r="528" spans="1:8" hidden="1">
      <c r="A528" s="2" t="s">
        <v>5</v>
      </c>
      <c r="B528" s="2"/>
      <c r="C528" s="2" t="s">
        <v>254</v>
      </c>
      <c r="D528" s="8">
        <v>45295</v>
      </c>
      <c r="E528" s="8"/>
      <c r="F528" s="8">
        <v>45321</v>
      </c>
      <c r="G528" s="8">
        <v>45310</v>
      </c>
      <c r="H528" s="4" t="s">
        <v>1170</v>
      </c>
    </row>
    <row r="529" spans="1:8" hidden="1">
      <c r="A529" s="2" t="s">
        <v>5</v>
      </c>
      <c r="B529" s="2"/>
      <c r="C529" s="2" t="s">
        <v>254</v>
      </c>
      <c r="D529" s="8">
        <v>45295</v>
      </c>
      <c r="E529" s="8"/>
      <c r="F529" s="8">
        <v>45321</v>
      </c>
      <c r="G529" s="8">
        <v>45310</v>
      </c>
      <c r="H529" s="4" t="s">
        <v>1170</v>
      </c>
    </row>
    <row r="530" spans="1:8" hidden="1">
      <c r="A530" s="2" t="s">
        <v>5</v>
      </c>
      <c r="B530" s="2"/>
      <c r="C530" s="2" t="s">
        <v>254</v>
      </c>
      <c r="D530" s="8">
        <v>45295</v>
      </c>
      <c r="E530" s="8"/>
      <c r="F530" s="8">
        <v>45321</v>
      </c>
      <c r="G530" s="8">
        <v>45310</v>
      </c>
      <c r="H530" s="4" t="s">
        <v>1171</v>
      </c>
    </row>
    <row r="531" spans="1:8" hidden="1">
      <c r="A531" s="2" t="s">
        <v>5</v>
      </c>
      <c r="B531" s="2"/>
      <c r="C531" s="2" t="s">
        <v>254</v>
      </c>
      <c r="D531" s="8">
        <v>45295</v>
      </c>
      <c r="E531" s="8"/>
      <c r="F531" s="8">
        <v>45321</v>
      </c>
      <c r="G531" s="8">
        <v>45310</v>
      </c>
      <c r="H531" s="4" t="s">
        <v>1172</v>
      </c>
    </row>
    <row r="532" spans="1:8" hidden="1">
      <c r="A532" s="2" t="s">
        <v>5</v>
      </c>
      <c r="B532" s="2"/>
      <c r="C532" s="2" t="s">
        <v>254</v>
      </c>
      <c r="D532" s="8">
        <v>45295</v>
      </c>
      <c r="E532" s="8"/>
      <c r="F532" s="8">
        <v>45321</v>
      </c>
      <c r="G532" s="8">
        <v>45310</v>
      </c>
      <c r="H532" s="4" t="s">
        <v>1172</v>
      </c>
    </row>
    <row r="533" spans="1:8" hidden="1">
      <c r="A533" s="2" t="s">
        <v>5</v>
      </c>
      <c r="B533" s="2"/>
      <c r="C533" s="2" t="s">
        <v>254</v>
      </c>
      <c r="D533" s="8">
        <v>45295</v>
      </c>
      <c r="E533" s="8"/>
      <c r="F533" s="8">
        <v>45321</v>
      </c>
      <c r="G533" s="8">
        <v>45310</v>
      </c>
      <c r="H533" s="4" t="s">
        <v>1172</v>
      </c>
    </row>
    <row r="534" spans="1:8" hidden="1">
      <c r="A534" s="2" t="s">
        <v>5</v>
      </c>
      <c r="B534" s="2"/>
      <c r="C534" s="2" t="s">
        <v>1009</v>
      </c>
      <c r="D534" s="8">
        <v>45273</v>
      </c>
      <c r="E534" s="8"/>
      <c r="F534" s="8">
        <v>45306</v>
      </c>
      <c r="G534" s="8">
        <v>45288</v>
      </c>
      <c r="H534" s="2" t="s">
        <v>464</v>
      </c>
    </row>
    <row r="535" spans="1:8" hidden="1">
      <c r="A535" s="2" t="s">
        <v>5</v>
      </c>
      <c r="B535" s="2"/>
      <c r="C535" s="2" t="s">
        <v>1009</v>
      </c>
      <c r="D535" s="8">
        <v>45273</v>
      </c>
      <c r="E535" s="8"/>
      <c r="F535" s="8">
        <v>45306</v>
      </c>
      <c r="G535" s="8">
        <v>45288</v>
      </c>
      <c r="H535" s="2" t="s">
        <v>465</v>
      </c>
    </row>
    <row r="536" spans="1:8" hidden="1">
      <c r="A536" s="2" t="s">
        <v>5</v>
      </c>
      <c r="B536" s="2"/>
      <c r="C536" s="2" t="s">
        <v>1009</v>
      </c>
      <c r="D536" s="8">
        <v>45273</v>
      </c>
      <c r="E536" s="8"/>
      <c r="F536" s="8">
        <v>45306</v>
      </c>
      <c r="G536" s="8">
        <v>45288</v>
      </c>
      <c r="H536" s="2" t="s">
        <v>466</v>
      </c>
    </row>
    <row r="537" spans="1:8" hidden="1">
      <c r="A537" s="2" t="s">
        <v>6</v>
      </c>
      <c r="B537" s="2"/>
      <c r="C537" s="2" t="s">
        <v>1010</v>
      </c>
      <c r="D537" s="8">
        <v>45273</v>
      </c>
      <c r="E537" s="8"/>
      <c r="F537" s="8">
        <v>45292</v>
      </c>
      <c r="G537" s="8">
        <v>45288</v>
      </c>
      <c r="H537" s="2" t="s">
        <v>467</v>
      </c>
    </row>
    <row r="538" spans="1:8" hidden="1">
      <c r="A538" s="4" t="s">
        <v>5</v>
      </c>
      <c r="B538" s="4"/>
      <c r="C538" s="4" t="s">
        <v>1017</v>
      </c>
      <c r="D538" s="10">
        <v>45293</v>
      </c>
      <c r="E538" s="10"/>
      <c r="F538" s="10">
        <v>45320</v>
      </c>
      <c r="G538" s="10">
        <v>45308</v>
      </c>
      <c r="H538" s="4" t="s">
        <v>1173</v>
      </c>
    </row>
    <row r="539" spans="1:8" hidden="1">
      <c r="A539" s="2" t="s">
        <v>5</v>
      </c>
      <c r="B539" s="2"/>
      <c r="C539" s="2" t="s">
        <v>1017</v>
      </c>
      <c r="D539" s="8">
        <v>45293</v>
      </c>
      <c r="E539" s="8"/>
      <c r="F539" s="8">
        <v>45320</v>
      </c>
      <c r="G539" s="8">
        <v>45308</v>
      </c>
      <c r="H539" s="4" t="s">
        <v>1173</v>
      </c>
    </row>
    <row r="540" spans="1:8" hidden="1">
      <c r="A540" s="2" t="s">
        <v>5</v>
      </c>
      <c r="B540" s="2"/>
      <c r="C540" s="2" t="s">
        <v>1017</v>
      </c>
      <c r="D540" s="8">
        <v>45293</v>
      </c>
      <c r="E540" s="8"/>
      <c r="F540" s="8">
        <v>45320</v>
      </c>
      <c r="G540" s="8">
        <v>45308</v>
      </c>
      <c r="H540" s="4" t="s">
        <v>1174</v>
      </c>
    </row>
    <row r="541" spans="1:8" hidden="1">
      <c r="A541" s="2" t="s">
        <v>5</v>
      </c>
      <c r="B541" s="2"/>
      <c r="C541" s="2" t="s">
        <v>1017</v>
      </c>
      <c r="D541" s="8">
        <v>45293</v>
      </c>
      <c r="E541" s="8"/>
      <c r="F541" s="8">
        <v>45320</v>
      </c>
      <c r="G541" s="8">
        <v>45308</v>
      </c>
      <c r="H541" s="4" t="s">
        <v>1174</v>
      </c>
    </row>
    <row r="542" spans="1:8" hidden="1">
      <c r="A542" s="2" t="s">
        <v>5</v>
      </c>
      <c r="B542" s="2"/>
      <c r="C542" s="2" t="s">
        <v>1013</v>
      </c>
      <c r="D542" s="8">
        <v>45293</v>
      </c>
      <c r="E542" s="8"/>
      <c r="F542" s="8">
        <v>45337</v>
      </c>
      <c r="G542" s="8">
        <v>45308</v>
      </c>
      <c r="H542" s="4" t="s">
        <v>1175</v>
      </c>
    </row>
    <row r="543" spans="1:8" hidden="1">
      <c r="A543" s="2" t="s">
        <v>5</v>
      </c>
      <c r="B543" s="2"/>
      <c r="C543" s="2" t="s">
        <v>1013</v>
      </c>
      <c r="D543" s="8">
        <v>45293</v>
      </c>
      <c r="E543" s="8"/>
      <c r="F543" s="8">
        <v>45337</v>
      </c>
      <c r="G543" s="8">
        <v>45308</v>
      </c>
      <c r="H543" s="4" t="s">
        <v>1175</v>
      </c>
    </row>
    <row r="544" spans="1:8" hidden="1">
      <c r="A544" s="2" t="s">
        <v>5</v>
      </c>
      <c r="B544" s="2"/>
      <c r="C544" s="2" t="s">
        <v>1013</v>
      </c>
      <c r="D544" s="8">
        <v>45293</v>
      </c>
      <c r="E544" s="8"/>
      <c r="F544" s="8">
        <v>45321</v>
      </c>
      <c r="G544" s="8">
        <v>45308</v>
      </c>
      <c r="H544" s="4" t="s">
        <v>1176</v>
      </c>
    </row>
    <row r="545" spans="1:8" hidden="1">
      <c r="A545" s="2" t="s">
        <v>5</v>
      </c>
      <c r="B545" s="2"/>
      <c r="C545" s="2" t="s">
        <v>1013</v>
      </c>
      <c r="D545" s="8">
        <v>45293</v>
      </c>
      <c r="E545" s="8"/>
      <c r="F545" s="8">
        <v>45321</v>
      </c>
      <c r="G545" s="8">
        <v>45308</v>
      </c>
      <c r="H545" s="4" t="s">
        <v>1177</v>
      </c>
    </row>
    <row r="546" spans="1:8" hidden="1">
      <c r="A546" s="2" t="s">
        <v>5</v>
      </c>
      <c r="B546" s="2"/>
      <c r="C546" s="2" t="s">
        <v>1013</v>
      </c>
      <c r="D546" s="8">
        <v>45293</v>
      </c>
      <c r="E546" s="8"/>
      <c r="F546" s="8">
        <v>45321</v>
      </c>
      <c r="G546" s="8">
        <v>45308</v>
      </c>
      <c r="H546" s="4" t="s">
        <v>1177</v>
      </c>
    </row>
    <row r="547" spans="1:8" hidden="1">
      <c r="A547" s="2" t="s">
        <v>5</v>
      </c>
      <c r="B547" s="2"/>
      <c r="C547" s="2" t="s">
        <v>1013</v>
      </c>
      <c r="D547" s="8">
        <v>45293</v>
      </c>
      <c r="E547" s="8"/>
      <c r="F547" s="8">
        <v>45321</v>
      </c>
      <c r="G547" s="8">
        <v>45308</v>
      </c>
      <c r="H547" s="4" t="s">
        <v>1177</v>
      </c>
    </row>
    <row r="548" spans="1:8" hidden="1">
      <c r="A548" s="2" t="s">
        <v>5</v>
      </c>
      <c r="B548" s="2"/>
      <c r="C548" s="2" t="s">
        <v>1013</v>
      </c>
      <c r="D548" s="8">
        <v>45295</v>
      </c>
      <c r="E548" s="8"/>
      <c r="F548" s="8">
        <v>45335</v>
      </c>
      <c r="G548" s="8">
        <v>45310</v>
      </c>
      <c r="H548" s="4" t="s">
        <v>1178</v>
      </c>
    </row>
    <row r="549" spans="1:8" hidden="1">
      <c r="A549" s="2" t="s">
        <v>5</v>
      </c>
      <c r="B549" s="2"/>
      <c r="C549" s="2" t="s">
        <v>1013</v>
      </c>
      <c r="D549" s="8">
        <v>45295</v>
      </c>
      <c r="E549" s="8"/>
      <c r="F549" s="8">
        <v>45335</v>
      </c>
      <c r="G549" s="8">
        <v>45310</v>
      </c>
      <c r="H549" s="4" t="s">
        <v>1178</v>
      </c>
    </row>
    <row r="550" spans="1:8" hidden="1">
      <c r="A550" s="2" t="s">
        <v>5</v>
      </c>
      <c r="B550" s="2"/>
      <c r="C550" s="2" t="s">
        <v>1013</v>
      </c>
      <c r="D550" s="8">
        <v>45295</v>
      </c>
      <c r="E550" s="8"/>
      <c r="F550" s="8">
        <v>45335</v>
      </c>
      <c r="G550" s="8">
        <v>45310</v>
      </c>
      <c r="H550" s="4" t="s">
        <v>1179</v>
      </c>
    </row>
    <row r="551" spans="1:8" hidden="1">
      <c r="A551" s="2" t="s">
        <v>5</v>
      </c>
      <c r="B551" s="2"/>
      <c r="C551" s="2" t="s">
        <v>1016</v>
      </c>
      <c r="D551" s="8">
        <v>45295</v>
      </c>
      <c r="E551" s="8"/>
      <c r="F551" s="8">
        <v>45335</v>
      </c>
      <c r="G551" s="8">
        <v>45310</v>
      </c>
      <c r="H551" s="4" t="s">
        <v>1180</v>
      </c>
    </row>
    <row r="552" spans="1:8" hidden="1">
      <c r="A552" s="2" t="s">
        <v>5</v>
      </c>
      <c r="B552" s="2"/>
      <c r="C552" s="2" t="s">
        <v>1016</v>
      </c>
      <c r="D552" s="8">
        <v>45295</v>
      </c>
      <c r="E552" s="8"/>
      <c r="F552" s="8">
        <v>45335</v>
      </c>
      <c r="G552" s="8">
        <v>45310</v>
      </c>
      <c r="H552" s="4" t="s">
        <v>1181</v>
      </c>
    </row>
    <row r="553" spans="1:8" hidden="1">
      <c r="A553" s="2" t="s">
        <v>5</v>
      </c>
      <c r="B553" s="2"/>
      <c r="C553" s="2" t="s">
        <v>1015</v>
      </c>
      <c r="D553" s="8">
        <v>45295</v>
      </c>
      <c r="E553" s="8"/>
      <c r="F553" s="8">
        <v>45335</v>
      </c>
      <c r="G553" s="8">
        <v>45310</v>
      </c>
      <c r="H553" s="4" t="s">
        <v>1182</v>
      </c>
    </row>
    <row r="554" spans="1:8" hidden="1">
      <c r="A554" s="2" t="s">
        <v>5</v>
      </c>
      <c r="B554" s="2"/>
      <c r="C554" s="2" t="s">
        <v>1015</v>
      </c>
      <c r="D554" s="8">
        <v>45295</v>
      </c>
      <c r="E554" s="8"/>
      <c r="F554" s="8">
        <v>45335</v>
      </c>
      <c r="G554" s="8">
        <v>45310</v>
      </c>
      <c r="H554" s="4" t="s">
        <v>1182</v>
      </c>
    </row>
    <row r="555" spans="1:8" hidden="1">
      <c r="A555" s="2" t="s">
        <v>5</v>
      </c>
      <c r="B555" s="2"/>
      <c r="C555" s="2" t="s">
        <v>1015</v>
      </c>
      <c r="D555" s="8">
        <v>45295</v>
      </c>
      <c r="E555" s="8"/>
      <c r="F555" s="8">
        <v>45335</v>
      </c>
      <c r="G555" s="8">
        <v>45310</v>
      </c>
      <c r="H555" s="4" t="s">
        <v>1183</v>
      </c>
    </row>
    <row r="556" spans="1:8" hidden="1">
      <c r="A556" s="2" t="s">
        <v>5</v>
      </c>
      <c r="B556" s="2"/>
      <c r="C556" s="2" t="s">
        <v>1015</v>
      </c>
      <c r="D556" s="8">
        <v>45295</v>
      </c>
      <c r="E556" s="8"/>
      <c r="F556" s="8">
        <v>45335</v>
      </c>
      <c r="G556" s="8">
        <v>45310</v>
      </c>
      <c r="H556" s="4" t="s">
        <v>1183</v>
      </c>
    </row>
    <row r="557" spans="1:8" hidden="1">
      <c r="A557" s="2" t="s">
        <v>5</v>
      </c>
      <c r="B557" s="2"/>
      <c r="C557" s="2" t="s">
        <v>1015</v>
      </c>
      <c r="D557" s="8">
        <v>45293</v>
      </c>
      <c r="E557" s="8"/>
      <c r="F557" s="8">
        <v>45322</v>
      </c>
      <c r="G557" s="8">
        <v>45308</v>
      </c>
      <c r="H557" s="4" t="s">
        <v>1184</v>
      </c>
    </row>
    <row r="558" spans="1:8" hidden="1">
      <c r="A558" s="2" t="s">
        <v>5</v>
      </c>
      <c r="B558" s="2"/>
      <c r="C558" s="2" t="s">
        <v>1015</v>
      </c>
      <c r="D558" s="8">
        <v>45293</v>
      </c>
      <c r="E558" s="8"/>
      <c r="F558" s="8">
        <v>45322</v>
      </c>
      <c r="G558" s="8">
        <v>45308</v>
      </c>
      <c r="H558" s="4" t="s">
        <v>1185</v>
      </c>
    </row>
    <row r="559" spans="1:8" hidden="1">
      <c r="A559" s="2" t="s">
        <v>5</v>
      </c>
      <c r="B559" s="2"/>
      <c r="C559" s="2" t="s">
        <v>1015</v>
      </c>
      <c r="D559" s="8">
        <v>45293</v>
      </c>
      <c r="E559" s="8"/>
      <c r="F559" s="8">
        <v>45322</v>
      </c>
      <c r="G559" s="8">
        <v>45308</v>
      </c>
      <c r="H559" s="4" t="s">
        <v>1185</v>
      </c>
    </row>
    <row r="560" spans="1:8" hidden="1">
      <c r="A560" s="2" t="s">
        <v>5</v>
      </c>
      <c r="B560" s="2"/>
      <c r="C560" s="2" t="s">
        <v>1015</v>
      </c>
      <c r="D560" s="8">
        <v>45293</v>
      </c>
      <c r="E560" s="8"/>
      <c r="F560" s="8">
        <v>45322</v>
      </c>
      <c r="G560" s="8">
        <v>45308</v>
      </c>
      <c r="H560" s="4" t="s">
        <v>1185</v>
      </c>
    </row>
    <row r="561" spans="1:8" hidden="1">
      <c r="A561" s="2" t="s">
        <v>5</v>
      </c>
      <c r="B561" s="2"/>
      <c r="C561" s="2" t="s">
        <v>312</v>
      </c>
      <c r="D561" s="8">
        <v>45286</v>
      </c>
      <c r="E561" s="8"/>
      <c r="F561" s="8">
        <v>45311</v>
      </c>
      <c r="G561" s="8">
        <v>45301</v>
      </c>
      <c r="H561" s="4" t="s">
        <v>481</v>
      </c>
    </row>
    <row r="562" spans="1:8" hidden="1">
      <c r="A562" s="2" t="s">
        <v>5</v>
      </c>
      <c r="B562" s="2"/>
      <c r="C562" s="2" t="s">
        <v>312</v>
      </c>
      <c r="D562" s="8">
        <v>45286</v>
      </c>
      <c r="E562" s="8"/>
      <c r="F562" s="8">
        <v>45311</v>
      </c>
      <c r="G562" s="8">
        <v>45301</v>
      </c>
      <c r="H562" s="4" t="s">
        <v>482</v>
      </c>
    </row>
    <row r="563" spans="1:8" hidden="1">
      <c r="A563" s="2" t="s">
        <v>6</v>
      </c>
      <c r="B563" s="2"/>
      <c r="C563" s="2" t="s">
        <v>1018</v>
      </c>
      <c r="D563" s="8">
        <v>45307</v>
      </c>
      <c r="E563" s="8"/>
      <c r="F563" s="8">
        <v>45329</v>
      </c>
      <c r="G563" s="8">
        <v>45322</v>
      </c>
      <c r="H563" s="4" t="s">
        <v>1186</v>
      </c>
    </row>
    <row r="564" spans="1:8" hidden="1">
      <c r="A564" s="2" t="s">
        <v>5</v>
      </c>
      <c r="B564" s="2"/>
      <c r="C564" s="2" t="s">
        <v>1012</v>
      </c>
      <c r="D564" s="8">
        <v>45286</v>
      </c>
      <c r="E564" s="8"/>
      <c r="F564" s="8">
        <v>45311</v>
      </c>
      <c r="G564" s="8">
        <v>45301</v>
      </c>
      <c r="H564" s="4" t="s">
        <v>484</v>
      </c>
    </row>
    <row r="565" spans="1:8" hidden="1">
      <c r="A565" s="2" t="s">
        <v>5</v>
      </c>
      <c r="B565" s="2"/>
      <c r="C565" s="2" t="s">
        <v>1014</v>
      </c>
      <c r="D565" s="8">
        <v>45295</v>
      </c>
      <c r="E565" s="8"/>
      <c r="F565" s="8">
        <v>45335</v>
      </c>
      <c r="G565" s="8">
        <v>45310</v>
      </c>
      <c r="H565" s="4" t="s">
        <v>1187</v>
      </c>
    </row>
    <row r="566" spans="1:8" hidden="1">
      <c r="A566" s="2" t="s">
        <v>5</v>
      </c>
      <c r="B566" s="2"/>
      <c r="C566" s="2" t="s">
        <v>254</v>
      </c>
      <c r="D566" s="8">
        <v>45295</v>
      </c>
      <c r="E566" s="8"/>
      <c r="F566" s="8">
        <v>45321</v>
      </c>
      <c r="G566" s="8">
        <v>45310</v>
      </c>
      <c r="H566" s="4" t="s">
        <v>1188</v>
      </c>
    </row>
    <row r="567" spans="1:8" hidden="1">
      <c r="A567" s="2" t="s">
        <v>5</v>
      </c>
      <c r="B567" s="2"/>
      <c r="C567" s="2" t="s">
        <v>1021</v>
      </c>
      <c r="D567" s="8">
        <v>45295</v>
      </c>
      <c r="E567" s="8"/>
      <c r="F567" s="8">
        <v>45321</v>
      </c>
      <c r="G567" s="8">
        <v>45310</v>
      </c>
      <c r="H567" s="4" t="s">
        <v>1189</v>
      </c>
    </row>
    <row r="568" spans="1:8" hidden="1">
      <c r="A568" s="5" t="s">
        <v>5</v>
      </c>
      <c r="B568" s="5"/>
      <c r="C568" s="5" t="s">
        <v>1022</v>
      </c>
      <c r="D568" s="11">
        <v>45315</v>
      </c>
      <c r="E568" s="11"/>
      <c r="F568" s="11">
        <v>45342</v>
      </c>
      <c r="G568" s="11">
        <v>45330</v>
      </c>
      <c r="H568" s="4" t="s">
        <v>1190</v>
      </c>
    </row>
    <row r="569" spans="1:8" hidden="1">
      <c r="A569" s="2" t="s">
        <v>5</v>
      </c>
      <c r="B569" s="2"/>
      <c r="C569" s="2" t="s">
        <v>1023</v>
      </c>
      <c r="D569" s="8">
        <v>45313</v>
      </c>
      <c r="E569" s="8"/>
      <c r="F569" s="8">
        <v>45344</v>
      </c>
      <c r="G569" s="8">
        <v>45328</v>
      </c>
      <c r="H569" s="4" t="s">
        <v>1191</v>
      </c>
    </row>
    <row r="570" spans="1:8" hidden="1">
      <c r="A570" s="2" t="s">
        <v>6</v>
      </c>
      <c r="B570" s="2"/>
      <c r="C570" s="2" t="s">
        <v>1026</v>
      </c>
      <c r="D570" s="8">
        <v>45321</v>
      </c>
      <c r="E570" s="8"/>
      <c r="F570" s="8">
        <v>45376</v>
      </c>
      <c r="G570" s="8">
        <v>45336</v>
      </c>
      <c r="H570" s="4" t="s">
        <v>1192</v>
      </c>
    </row>
    <row r="571" spans="1:8" hidden="1">
      <c r="A571" s="2" t="s">
        <v>6</v>
      </c>
      <c r="B571" s="2"/>
      <c r="C571" s="2" t="s">
        <v>1026</v>
      </c>
      <c r="D571" s="8">
        <v>45321</v>
      </c>
      <c r="E571" s="8"/>
      <c r="F571" s="8">
        <v>45376</v>
      </c>
      <c r="G571" s="8">
        <v>45336</v>
      </c>
      <c r="H571" s="4" t="s">
        <v>1192</v>
      </c>
    </row>
    <row r="572" spans="1:8" hidden="1">
      <c r="A572" s="2" t="s">
        <v>6</v>
      </c>
      <c r="B572" s="2"/>
      <c r="C572" s="2" t="s">
        <v>1026</v>
      </c>
      <c r="D572" s="8">
        <v>45321</v>
      </c>
      <c r="E572" s="8"/>
      <c r="F572" s="8">
        <v>45376</v>
      </c>
      <c r="G572" s="8">
        <v>45336</v>
      </c>
      <c r="H572" s="4" t="s">
        <v>1192</v>
      </c>
    </row>
    <row r="573" spans="1:8" hidden="1">
      <c r="A573" s="2" t="s">
        <v>6</v>
      </c>
      <c r="B573" s="2"/>
      <c r="C573" s="2" t="s">
        <v>1026</v>
      </c>
      <c r="D573" s="8">
        <v>45321</v>
      </c>
      <c r="E573" s="8"/>
      <c r="F573" s="8">
        <v>45376</v>
      </c>
      <c r="G573" s="8">
        <v>45336</v>
      </c>
      <c r="H573" s="4" t="s">
        <v>1192</v>
      </c>
    </row>
    <row r="574" spans="1:8" hidden="1">
      <c r="A574" s="2" t="s">
        <v>6</v>
      </c>
      <c r="B574" s="2"/>
      <c r="C574" s="2" t="s">
        <v>1026</v>
      </c>
      <c r="D574" s="8">
        <v>45321</v>
      </c>
      <c r="E574" s="8"/>
      <c r="F574" s="8">
        <v>45376</v>
      </c>
      <c r="G574" s="8">
        <v>45336</v>
      </c>
      <c r="H574" s="4" t="s">
        <v>1193</v>
      </c>
    </row>
    <row r="575" spans="1:8" hidden="1">
      <c r="A575" s="2" t="s">
        <v>6</v>
      </c>
      <c r="B575" s="2"/>
      <c r="C575" s="2" t="s">
        <v>1026</v>
      </c>
      <c r="D575" s="8">
        <v>45321</v>
      </c>
      <c r="E575" s="8"/>
      <c r="F575" s="8">
        <v>45376</v>
      </c>
      <c r="G575" s="8">
        <v>45336</v>
      </c>
      <c r="H575" s="4" t="s">
        <v>1194</v>
      </c>
    </row>
    <row r="576" spans="1:8" hidden="1">
      <c r="A576" s="2" t="s">
        <v>6</v>
      </c>
      <c r="B576" s="2"/>
      <c r="C576" s="2" t="s">
        <v>1026</v>
      </c>
      <c r="D576" s="8">
        <v>45321</v>
      </c>
      <c r="E576" s="8"/>
      <c r="F576" s="8">
        <v>45376</v>
      </c>
      <c r="G576" s="8">
        <v>45336</v>
      </c>
      <c r="H576" s="4" t="s">
        <v>1194</v>
      </c>
    </row>
    <row r="577" spans="1:8" hidden="1">
      <c r="A577" s="2" t="s">
        <v>6</v>
      </c>
      <c r="B577" s="2"/>
      <c r="C577" s="2" t="s">
        <v>1026</v>
      </c>
      <c r="D577" s="8">
        <v>45321</v>
      </c>
      <c r="E577" s="8"/>
      <c r="F577" s="8">
        <v>45376</v>
      </c>
      <c r="G577" s="8">
        <v>45336</v>
      </c>
      <c r="H577" s="4" t="s">
        <v>1194</v>
      </c>
    </row>
    <row r="578" spans="1:8" hidden="1">
      <c r="A578" s="2" t="s">
        <v>6</v>
      </c>
      <c r="B578" s="2"/>
      <c r="C578" s="2" t="s">
        <v>1026</v>
      </c>
      <c r="D578" s="8">
        <v>45321</v>
      </c>
      <c r="E578" s="8"/>
      <c r="F578" s="8">
        <v>45376</v>
      </c>
      <c r="G578" s="8">
        <v>45336</v>
      </c>
      <c r="H578" s="4" t="s">
        <v>1194</v>
      </c>
    </row>
    <row r="579" spans="1:8" hidden="1">
      <c r="A579" s="2" t="s">
        <v>6</v>
      </c>
      <c r="B579" s="2"/>
      <c r="C579" s="2" t="s">
        <v>1026</v>
      </c>
      <c r="D579" s="8">
        <v>45321</v>
      </c>
      <c r="E579" s="8"/>
      <c r="F579" s="8">
        <v>45376</v>
      </c>
      <c r="G579" s="8">
        <v>45336</v>
      </c>
      <c r="H579" s="4" t="s">
        <v>1195</v>
      </c>
    </row>
    <row r="580" spans="1:8" hidden="1">
      <c r="A580" s="2" t="s">
        <v>6</v>
      </c>
      <c r="B580" s="2"/>
      <c r="C580" s="2" t="s">
        <v>1025</v>
      </c>
      <c r="D580" s="8">
        <v>45321</v>
      </c>
      <c r="E580" s="8"/>
      <c r="F580" s="8">
        <v>45348</v>
      </c>
      <c r="G580" s="8">
        <v>45336</v>
      </c>
      <c r="H580" s="4" t="s">
        <v>1196</v>
      </c>
    </row>
    <row r="581" spans="1:8" hidden="1">
      <c r="A581" s="2" t="s">
        <v>6</v>
      </c>
      <c r="B581" s="2"/>
      <c r="C581" s="2" t="s">
        <v>1025</v>
      </c>
      <c r="D581" s="8">
        <v>45321</v>
      </c>
      <c r="E581" s="8"/>
      <c r="F581" s="8">
        <v>45348</v>
      </c>
      <c r="G581" s="8">
        <v>45336</v>
      </c>
      <c r="H581" s="4" t="s">
        <v>1196</v>
      </c>
    </row>
    <row r="582" spans="1:8" hidden="1">
      <c r="A582" s="2" t="s">
        <v>6</v>
      </c>
      <c r="B582" s="2"/>
      <c r="C582" s="2" t="s">
        <v>1025</v>
      </c>
      <c r="D582" s="8">
        <v>45321</v>
      </c>
      <c r="E582" s="8"/>
      <c r="F582" s="8">
        <v>45348</v>
      </c>
      <c r="G582" s="8">
        <v>45336</v>
      </c>
      <c r="H582" s="4" t="s">
        <v>1196</v>
      </c>
    </row>
    <row r="583" spans="1:8" hidden="1">
      <c r="A583" s="2" t="s">
        <v>6</v>
      </c>
      <c r="B583" s="2"/>
      <c r="C583" s="2" t="s">
        <v>1025</v>
      </c>
      <c r="D583" s="8">
        <v>45321</v>
      </c>
      <c r="E583" s="8"/>
      <c r="F583" s="8">
        <v>45348</v>
      </c>
      <c r="G583" s="8">
        <v>45336</v>
      </c>
      <c r="H583" s="4" t="s">
        <v>1197</v>
      </c>
    </row>
    <row r="584" spans="1:8" hidden="1">
      <c r="A584" s="2" t="s">
        <v>6</v>
      </c>
      <c r="B584" s="2"/>
      <c r="C584" s="2" t="s">
        <v>1024</v>
      </c>
      <c r="D584" s="8">
        <v>45316</v>
      </c>
      <c r="E584" s="8"/>
      <c r="F584" s="8">
        <v>45335</v>
      </c>
      <c r="G584" s="8">
        <v>45331</v>
      </c>
      <c r="H584" s="4" t="s">
        <v>1198</v>
      </c>
    </row>
    <row r="585" spans="1:8" hidden="1">
      <c r="A585" s="2" t="s">
        <v>6</v>
      </c>
      <c r="B585" s="2"/>
      <c r="C585" s="2" t="s">
        <v>1024</v>
      </c>
      <c r="D585" s="8">
        <v>45316</v>
      </c>
      <c r="E585" s="8"/>
      <c r="F585" s="8">
        <v>45335</v>
      </c>
      <c r="G585" s="8">
        <v>45331</v>
      </c>
      <c r="H585" s="4" t="s">
        <v>1198</v>
      </c>
    </row>
    <row r="586" spans="1:8" hidden="1">
      <c r="A586" s="2" t="s">
        <v>5</v>
      </c>
      <c r="B586" s="2"/>
      <c r="C586" s="2" t="s">
        <v>1022</v>
      </c>
      <c r="D586" s="8">
        <v>45309</v>
      </c>
      <c r="E586" s="8"/>
      <c r="F586" s="8">
        <v>45374</v>
      </c>
      <c r="G586" s="21">
        <v>45324</v>
      </c>
      <c r="H586" s="4" t="s">
        <v>1199</v>
      </c>
    </row>
    <row r="587" spans="1:8" hidden="1">
      <c r="A587" s="2" t="s">
        <v>6</v>
      </c>
      <c r="B587" s="2"/>
      <c r="C587" s="2" t="s">
        <v>1027</v>
      </c>
      <c r="D587" s="8">
        <v>45315</v>
      </c>
      <c r="E587" s="8"/>
      <c r="F587" s="8">
        <v>45329</v>
      </c>
      <c r="G587" s="8">
        <v>45330</v>
      </c>
      <c r="H587" s="4" t="s">
        <v>1200</v>
      </c>
    </row>
    <row r="588" spans="1:8" hidden="1">
      <c r="A588" s="2" t="s">
        <v>8</v>
      </c>
      <c r="B588" s="2"/>
      <c r="C588" s="2" t="s">
        <v>1004</v>
      </c>
      <c r="D588" s="8">
        <v>45316</v>
      </c>
      <c r="E588" s="8"/>
      <c r="F588" s="8">
        <v>45356</v>
      </c>
      <c r="G588" s="8">
        <v>45331</v>
      </c>
      <c r="H588" s="4" t="s">
        <v>1201</v>
      </c>
    </row>
    <row r="589" spans="1:8" hidden="1">
      <c r="A589" s="2" t="s">
        <v>8</v>
      </c>
      <c r="B589" s="2"/>
      <c r="C589" s="2" t="s">
        <v>1004</v>
      </c>
      <c r="D589" s="8">
        <v>45316</v>
      </c>
      <c r="E589" s="8"/>
      <c r="F589" s="8">
        <v>45356</v>
      </c>
      <c r="G589" s="8">
        <v>45331</v>
      </c>
      <c r="H589" s="4" t="s">
        <v>1202</v>
      </c>
    </row>
    <row r="590" spans="1:8" hidden="1">
      <c r="A590" s="2" t="s">
        <v>8</v>
      </c>
      <c r="B590" s="2"/>
      <c r="C590" s="2" t="s">
        <v>1004</v>
      </c>
      <c r="D590" s="8">
        <v>45316</v>
      </c>
      <c r="E590" s="8"/>
      <c r="F590" s="8">
        <v>45356</v>
      </c>
      <c r="G590" s="8">
        <v>45331</v>
      </c>
      <c r="H590" s="4" t="s">
        <v>1203</v>
      </c>
    </row>
    <row r="591" spans="1:8" hidden="1">
      <c r="A591" s="2" t="s">
        <v>8</v>
      </c>
      <c r="B591" s="2"/>
      <c r="C591" s="2" t="s">
        <v>1004</v>
      </c>
      <c r="D591" s="8">
        <v>45316</v>
      </c>
      <c r="E591" s="8"/>
      <c r="F591" s="8">
        <v>45356</v>
      </c>
      <c r="G591" s="8">
        <v>45331</v>
      </c>
      <c r="H591" s="4" t="s">
        <v>1204</v>
      </c>
    </row>
    <row r="592" spans="1:8" hidden="1">
      <c r="A592" s="2" t="s">
        <v>8</v>
      </c>
      <c r="B592" s="2"/>
      <c r="C592" s="2" t="s">
        <v>1028</v>
      </c>
      <c r="D592" s="8">
        <v>45315</v>
      </c>
      <c r="E592" s="8"/>
      <c r="F592" s="8">
        <v>45337</v>
      </c>
      <c r="G592" s="8">
        <v>45330</v>
      </c>
      <c r="H592" s="4" t="s">
        <v>1205</v>
      </c>
    </row>
    <row r="593" spans="1:8" hidden="1">
      <c r="A593" s="2" t="s">
        <v>8</v>
      </c>
      <c r="B593" s="2"/>
      <c r="C593" s="2" t="s">
        <v>1028</v>
      </c>
      <c r="D593" s="8">
        <v>45315</v>
      </c>
      <c r="E593" s="8"/>
      <c r="F593" s="8">
        <v>45337</v>
      </c>
      <c r="G593" s="8">
        <v>45330</v>
      </c>
      <c r="H593" s="4" t="s">
        <v>1206</v>
      </c>
    </row>
    <row r="594" spans="1:8" hidden="1">
      <c r="A594" s="2" t="s">
        <v>8</v>
      </c>
      <c r="B594" s="2"/>
      <c r="C594" s="2" t="s">
        <v>1028</v>
      </c>
      <c r="D594" s="8">
        <v>45315</v>
      </c>
      <c r="E594" s="8"/>
      <c r="F594" s="8">
        <v>45337</v>
      </c>
      <c r="G594" s="8">
        <v>45330</v>
      </c>
      <c r="H594" s="22" t="s">
        <v>1206</v>
      </c>
    </row>
    <row r="595" spans="1:8" hidden="1">
      <c r="A595" s="2" t="s">
        <v>6</v>
      </c>
      <c r="B595" s="2"/>
      <c r="C595" s="2" t="s">
        <v>1029</v>
      </c>
      <c r="D595" s="8">
        <v>45321</v>
      </c>
      <c r="E595" s="8"/>
      <c r="F595" s="8">
        <v>45348</v>
      </c>
      <c r="G595" s="8">
        <v>45336</v>
      </c>
      <c r="H595" s="4" t="s">
        <v>1207</v>
      </c>
    </row>
    <row r="596" spans="1:8" hidden="1">
      <c r="A596" s="2" t="s">
        <v>6</v>
      </c>
      <c r="B596" s="2"/>
      <c r="C596" s="2" t="s">
        <v>1029</v>
      </c>
      <c r="D596" s="8">
        <v>45321</v>
      </c>
      <c r="E596" s="8"/>
      <c r="F596" s="8">
        <v>45348</v>
      </c>
      <c r="G596" s="8">
        <v>45336</v>
      </c>
      <c r="H596" s="4" t="s">
        <v>1208</v>
      </c>
    </row>
    <row r="597" spans="1:8" hidden="1">
      <c r="A597" s="2" t="s">
        <v>2</v>
      </c>
      <c r="B597" s="2"/>
      <c r="C597" s="2" t="s">
        <v>1030</v>
      </c>
      <c r="D597" s="8">
        <v>45327</v>
      </c>
      <c r="E597" s="8"/>
      <c r="F597" s="8">
        <v>45380</v>
      </c>
      <c r="G597" s="21">
        <v>45342</v>
      </c>
      <c r="H597" s="4" t="s">
        <v>1209</v>
      </c>
    </row>
    <row r="598" spans="1:8" hidden="1">
      <c r="A598" s="2" t="s">
        <v>2</v>
      </c>
      <c r="B598" s="2"/>
      <c r="C598" s="2" t="s">
        <v>1030</v>
      </c>
      <c r="D598" s="8">
        <v>45327</v>
      </c>
      <c r="E598" s="8"/>
      <c r="F598" s="8">
        <v>45380</v>
      </c>
      <c r="G598" s="21">
        <v>45342</v>
      </c>
      <c r="H598" s="4" t="s">
        <v>1210</v>
      </c>
    </row>
    <row r="599" spans="1:8" hidden="1">
      <c r="A599" s="2" t="s">
        <v>2</v>
      </c>
      <c r="B599" s="2"/>
      <c r="C599" s="2" t="s">
        <v>1030</v>
      </c>
      <c r="D599" s="8">
        <v>45327</v>
      </c>
      <c r="E599" s="8"/>
      <c r="F599" s="8">
        <v>45380</v>
      </c>
      <c r="G599" s="21">
        <v>45342</v>
      </c>
      <c r="H599" s="4" t="s">
        <v>1211</v>
      </c>
    </row>
    <row r="600" spans="1:8" hidden="1">
      <c r="A600" s="2" t="s">
        <v>2</v>
      </c>
      <c r="B600" s="2"/>
      <c r="C600" s="2" t="s">
        <v>1030</v>
      </c>
      <c r="D600" s="8">
        <v>45327</v>
      </c>
      <c r="E600" s="8"/>
      <c r="F600" s="8">
        <v>45380</v>
      </c>
      <c r="G600" s="21">
        <v>45342</v>
      </c>
      <c r="H600" s="4" t="s">
        <v>1212</v>
      </c>
    </row>
    <row r="601" spans="1:8" hidden="1">
      <c r="A601" s="2" t="s">
        <v>2</v>
      </c>
      <c r="B601" s="2"/>
      <c r="C601" s="2" t="s">
        <v>1030</v>
      </c>
      <c r="D601" s="8">
        <v>45327</v>
      </c>
      <c r="E601" s="8"/>
      <c r="F601" s="8">
        <v>45380</v>
      </c>
      <c r="G601" s="21">
        <v>45342</v>
      </c>
      <c r="H601" s="4" t="s">
        <v>1213</v>
      </c>
    </row>
    <row r="602" spans="1:8" hidden="1">
      <c r="A602" s="2" t="s">
        <v>2</v>
      </c>
      <c r="B602" s="2"/>
      <c r="C602" s="2" t="s">
        <v>1030</v>
      </c>
      <c r="D602" s="8">
        <v>45327</v>
      </c>
      <c r="E602" s="8"/>
      <c r="F602" s="8">
        <v>45380</v>
      </c>
      <c r="G602" s="21">
        <v>45342</v>
      </c>
      <c r="H602" s="4" t="s">
        <v>1214</v>
      </c>
    </row>
    <row r="603" spans="1:8" hidden="1">
      <c r="A603" s="2" t="s">
        <v>2</v>
      </c>
      <c r="B603" s="2"/>
      <c r="C603" s="2" t="s">
        <v>1030</v>
      </c>
      <c r="D603" s="8">
        <v>45347</v>
      </c>
      <c r="E603" s="8"/>
      <c r="F603" s="8">
        <v>45380</v>
      </c>
      <c r="G603" s="21">
        <v>45360</v>
      </c>
      <c r="H603" s="4" t="s">
        <v>1215</v>
      </c>
    </row>
    <row r="604" spans="1:8" hidden="1">
      <c r="A604" s="2" t="s">
        <v>2</v>
      </c>
      <c r="B604" s="2"/>
      <c r="C604" s="2" t="s">
        <v>1030</v>
      </c>
      <c r="D604" s="8">
        <v>45327</v>
      </c>
      <c r="E604" s="8"/>
      <c r="F604" s="8">
        <v>45380</v>
      </c>
      <c r="G604" s="21">
        <v>45342</v>
      </c>
      <c r="H604" s="4" t="s">
        <v>1216</v>
      </c>
    </row>
    <row r="605" spans="1:8" hidden="1">
      <c r="A605" s="2" t="s">
        <v>2</v>
      </c>
      <c r="B605" s="2"/>
      <c r="C605" s="2" t="s">
        <v>1030</v>
      </c>
      <c r="D605" s="8">
        <v>45327</v>
      </c>
      <c r="E605" s="8"/>
      <c r="F605" s="8">
        <v>45380</v>
      </c>
      <c r="G605" s="21">
        <v>45342</v>
      </c>
      <c r="H605" s="4" t="s">
        <v>1217</v>
      </c>
    </row>
    <row r="606" spans="1:8" hidden="1">
      <c r="A606" s="2" t="s">
        <v>2</v>
      </c>
      <c r="B606" s="2"/>
      <c r="C606" s="2" t="s">
        <v>1030</v>
      </c>
      <c r="D606" s="8">
        <v>45327</v>
      </c>
      <c r="E606" s="8"/>
      <c r="F606" s="8">
        <v>45380</v>
      </c>
      <c r="G606" s="21">
        <v>45342</v>
      </c>
      <c r="H606" s="4" t="s">
        <v>1218</v>
      </c>
    </row>
    <row r="607" spans="1:8" hidden="1">
      <c r="A607" s="2" t="s">
        <v>5</v>
      </c>
      <c r="B607" s="2"/>
      <c r="C607" s="2" t="s">
        <v>1031</v>
      </c>
      <c r="D607" s="8">
        <v>45332</v>
      </c>
      <c r="E607" s="8"/>
      <c r="F607" s="8">
        <v>45338</v>
      </c>
      <c r="G607" s="8">
        <v>45346</v>
      </c>
      <c r="H607" s="4" t="s">
        <v>1219</v>
      </c>
    </row>
    <row r="608" spans="1:8" hidden="1">
      <c r="A608" s="2" t="s">
        <v>5</v>
      </c>
      <c r="B608" s="2"/>
      <c r="C608" s="2" t="s">
        <v>1031</v>
      </c>
      <c r="D608" s="8">
        <v>45332</v>
      </c>
      <c r="E608" s="8"/>
      <c r="F608" s="8">
        <v>45338</v>
      </c>
      <c r="G608" s="8">
        <v>45346</v>
      </c>
      <c r="H608" s="4" t="s">
        <v>1219</v>
      </c>
    </row>
    <row r="609" spans="1:8" hidden="1">
      <c r="A609" s="2" t="s">
        <v>5</v>
      </c>
      <c r="B609" s="2"/>
      <c r="C609" s="2" t="s">
        <v>1031</v>
      </c>
      <c r="D609" s="8">
        <v>45332</v>
      </c>
      <c r="E609" s="8"/>
      <c r="F609" s="8">
        <v>45338</v>
      </c>
      <c r="G609" s="8">
        <v>45346</v>
      </c>
      <c r="H609" s="4" t="s">
        <v>1220</v>
      </c>
    </row>
    <row r="610" spans="1:8" hidden="1">
      <c r="A610" s="2" t="s">
        <v>5</v>
      </c>
      <c r="B610" s="2"/>
      <c r="C610" s="2" t="s">
        <v>1032</v>
      </c>
      <c r="D610" s="8">
        <v>45336</v>
      </c>
      <c r="E610" s="8"/>
      <c r="F610" s="8">
        <v>45374</v>
      </c>
      <c r="G610" s="8">
        <v>45351</v>
      </c>
      <c r="H610" s="4" t="s">
        <v>1221</v>
      </c>
    </row>
    <row r="611" spans="1:8" hidden="1">
      <c r="A611" s="2" t="s">
        <v>5</v>
      </c>
      <c r="B611" s="2"/>
      <c r="C611" s="2" t="s">
        <v>1032</v>
      </c>
      <c r="D611" s="8">
        <v>45336</v>
      </c>
      <c r="E611" s="8"/>
      <c r="F611" s="8">
        <v>45374</v>
      </c>
      <c r="G611" s="8">
        <v>45351</v>
      </c>
      <c r="H611" s="4" t="s">
        <v>1222</v>
      </c>
    </row>
    <row r="612" spans="1:8" hidden="1">
      <c r="A612" s="2" t="s">
        <v>5</v>
      </c>
      <c r="B612" s="2"/>
      <c r="C612" s="2" t="s">
        <v>1032</v>
      </c>
      <c r="D612" s="8">
        <v>45336</v>
      </c>
      <c r="E612" s="8"/>
      <c r="F612" s="8">
        <v>45374</v>
      </c>
      <c r="G612" s="8">
        <v>45351</v>
      </c>
      <c r="H612" s="4" t="s">
        <v>1223</v>
      </c>
    </row>
    <row r="613" spans="1:8" hidden="1">
      <c r="A613" s="2" t="s">
        <v>5</v>
      </c>
      <c r="B613" s="2"/>
      <c r="C613" s="2" t="s">
        <v>1034</v>
      </c>
      <c r="D613" s="8">
        <v>45337</v>
      </c>
      <c r="E613" s="8"/>
      <c r="F613" s="8">
        <v>45364</v>
      </c>
      <c r="G613" s="8">
        <v>45352</v>
      </c>
      <c r="H613" s="4" t="s">
        <v>1224</v>
      </c>
    </row>
    <row r="614" spans="1:8" hidden="1">
      <c r="A614" s="2" t="s">
        <v>5</v>
      </c>
      <c r="B614" s="2"/>
      <c r="C614" s="2" t="s">
        <v>1034</v>
      </c>
      <c r="D614" s="8">
        <v>45337</v>
      </c>
      <c r="E614" s="8"/>
      <c r="F614" s="8">
        <v>45364</v>
      </c>
      <c r="G614" s="8">
        <v>45352</v>
      </c>
      <c r="H614" s="4" t="s">
        <v>1225</v>
      </c>
    </row>
    <row r="615" spans="1:8" hidden="1">
      <c r="A615" s="2" t="s">
        <v>5</v>
      </c>
      <c r="B615" s="2"/>
      <c r="C615" s="2" t="s">
        <v>1034</v>
      </c>
      <c r="D615" s="8">
        <v>45337</v>
      </c>
      <c r="E615" s="8"/>
      <c r="F615" s="8">
        <v>45364</v>
      </c>
      <c r="G615" s="8">
        <v>45352</v>
      </c>
      <c r="H615" s="4" t="s">
        <v>1226</v>
      </c>
    </row>
    <row r="616" spans="1:8" hidden="1">
      <c r="A616" s="2" t="s">
        <v>5</v>
      </c>
      <c r="B616" s="2"/>
      <c r="C616" s="2" t="s">
        <v>1033</v>
      </c>
      <c r="D616" s="8">
        <v>45334</v>
      </c>
      <c r="E616" s="8"/>
      <c r="F616" s="8">
        <v>45360</v>
      </c>
      <c r="G616" s="8">
        <v>45349</v>
      </c>
      <c r="H616" s="4" t="s">
        <v>1227</v>
      </c>
    </row>
    <row r="617" spans="1:8" hidden="1">
      <c r="A617" s="2" t="s">
        <v>5</v>
      </c>
      <c r="B617" s="2"/>
      <c r="C617" s="2" t="s">
        <v>1033</v>
      </c>
      <c r="D617" s="8">
        <v>45334</v>
      </c>
      <c r="E617" s="8"/>
      <c r="F617" s="8">
        <v>45360</v>
      </c>
      <c r="G617" s="8">
        <v>45349</v>
      </c>
      <c r="H617" s="4" t="s">
        <v>1228</v>
      </c>
    </row>
    <row r="618" spans="1:8" hidden="1">
      <c r="A618" s="2" t="s">
        <v>5</v>
      </c>
      <c r="B618" s="2"/>
      <c r="C618" s="2" t="s">
        <v>1033</v>
      </c>
      <c r="D618" s="8">
        <v>45334</v>
      </c>
      <c r="E618" s="8"/>
      <c r="F618" s="8">
        <v>45360</v>
      </c>
      <c r="G618" s="8">
        <v>45349</v>
      </c>
      <c r="H618" s="4" t="s">
        <v>1229</v>
      </c>
    </row>
    <row r="619" spans="1:8" hidden="1">
      <c r="A619" s="2" t="s">
        <v>5</v>
      </c>
      <c r="B619" s="2"/>
      <c r="C619" s="2" t="s">
        <v>1033</v>
      </c>
      <c r="D619" s="8">
        <v>45334</v>
      </c>
      <c r="E619" s="8"/>
      <c r="F619" s="8">
        <v>45360</v>
      </c>
      <c r="G619" s="8">
        <v>45349</v>
      </c>
      <c r="H619" s="4" t="s">
        <v>1230</v>
      </c>
    </row>
    <row r="620" spans="1:8" hidden="1">
      <c r="A620" s="2" t="s">
        <v>5</v>
      </c>
      <c r="B620" s="2"/>
      <c r="C620" s="2" t="s">
        <v>1033</v>
      </c>
      <c r="D620" s="8">
        <v>45334</v>
      </c>
      <c r="E620" s="8"/>
      <c r="F620" s="8">
        <v>45360</v>
      </c>
      <c r="G620" s="8">
        <v>45349</v>
      </c>
      <c r="H620" s="4" t="s">
        <v>1231</v>
      </c>
    </row>
    <row r="621" spans="1:8" hidden="1">
      <c r="A621" s="2" t="s">
        <v>5</v>
      </c>
      <c r="B621" s="2"/>
      <c r="C621" s="2" t="s">
        <v>1033</v>
      </c>
      <c r="D621" s="8">
        <v>45334</v>
      </c>
      <c r="E621" s="8"/>
      <c r="F621" s="8">
        <v>45360</v>
      </c>
      <c r="G621" s="8">
        <v>45349</v>
      </c>
      <c r="H621" s="4" t="s">
        <v>1232</v>
      </c>
    </row>
    <row r="622" spans="1:8" hidden="1">
      <c r="A622" s="2" t="s">
        <v>5</v>
      </c>
      <c r="B622" s="2"/>
      <c r="C622" s="2" t="s">
        <v>1033</v>
      </c>
      <c r="D622" s="8">
        <v>45334</v>
      </c>
      <c r="E622" s="8"/>
      <c r="F622" s="8">
        <v>45360</v>
      </c>
      <c r="G622" s="8">
        <v>45349</v>
      </c>
      <c r="H622" s="4" t="s">
        <v>1232</v>
      </c>
    </row>
    <row r="623" spans="1:8" hidden="1">
      <c r="A623" s="2" t="s">
        <v>5</v>
      </c>
      <c r="B623" s="2"/>
      <c r="C623" s="2" t="s">
        <v>1033</v>
      </c>
      <c r="D623" s="8">
        <v>45334</v>
      </c>
      <c r="E623" s="8"/>
      <c r="F623" s="8">
        <v>45360</v>
      </c>
      <c r="G623" s="8">
        <v>45349</v>
      </c>
      <c r="H623" s="4" t="s">
        <v>1232</v>
      </c>
    </row>
    <row r="624" spans="1:8" hidden="1">
      <c r="A624" s="2" t="s">
        <v>8</v>
      </c>
      <c r="B624" s="2"/>
      <c r="C624" s="2" t="s">
        <v>1036</v>
      </c>
      <c r="D624" s="8">
        <v>45336</v>
      </c>
      <c r="E624" s="8"/>
      <c r="F624" s="8">
        <v>45378</v>
      </c>
      <c r="G624" s="8">
        <v>45351</v>
      </c>
      <c r="H624" s="4" t="s">
        <v>1233</v>
      </c>
    </row>
    <row r="625" spans="1:8" hidden="1">
      <c r="A625" s="2" t="s">
        <v>8</v>
      </c>
      <c r="B625" s="2"/>
      <c r="C625" s="2" t="s">
        <v>1036</v>
      </c>
      <c r="D625" s="8">
        <v>45336</v>
      </c>
      <c r="E625" s="8"/>
      <c r="F625" s="8">
        <v>45378</v>
      </c>
      <c r="G625" s="8">
        <v>45351</v>
      </c>
      <c r="H625" s="4" t="s">
        <v>1234</v>
      </c>
    </row>
    <row r="626" spans="1:8" hidden="1">
      <c r="A626" s="2" t="s">
        <v>8</v>
      </c>
      <c r="B626" s="2"/>
      <c r="C626" s="2" t="s">
        <v>1004</v>
      </c>
      <c r="D626" s="8">
        <v>45336</v>
      </c>
      <c r="E626" s="8"/>
      <c r="F626" s="8">
        <v>45379</v>
      </c>
      <c r="G626" s="8">
        <v>45351</v>
      </c>
      <c r="H626" s="4" t="s">
        <v>1235</v>
      </c>
    </row>
    <row r="627" spans="1:8" hidden="1">
      <c r="A627" s="2" t="s">
        <v>8</v>
      </c>
      <c r="B627" s="2"/>
      <c r="C627" s="2" t="s">
        <v>1035</v>
      </c>
      <c r="D627" s="8">
        <v>45315</v>
      </c>
      <c r="E627" s="8"/>
      <c r="F627" s="8">
        <v>45337</v>
      </c>
      <c r="G627" s="8">
        <v>45330</v>
      </c>
      <c r="H627" s="4" t="s">
        <v>1236</v>
      </c>
    </row>
    <row r="628" spans="1:8" hidden="1">
      <c r="A628" s="2" t="s">
        <v>8</v>
      </c>
      <c r="B628" s="2"/>
      <c r="C628" s="2" t="s">
        <v>1035</v>
      </c>
      <c r="D628" s="8">
        <v>45315</v>
      </c>
      <c r="E628" s="8"/>
      <c r="F628" s="8">
        <v>45338</v>
      </c>
      <c r="G628" s="8">
        <v>45330</v>
      </c>
      <c r="H628" s="4" t="s">
        <v>1237</v>
      </c>
    </row>
    <row r="629" spans="1:8" hidden="1">
      <c r="A629" s="2" t="s">
        <v>6</v>
      </c>
      <c r="B629" s="2"/>
      <c r="C629" s="2" t="s">
        <v>1037</v>
      </c>
      <c r="D629" s="8">
        <v>45321</v>
      </c>
      <c r="E629" s="8"/>
      <c r="F629" s="8">
        <v>45376</v>
      </c>
      <c r="G629" s="8">
        <v>45336</v>
      </c>
      <c r="H629" s="4" t="s">
        <v>1238</v>
      </c>
    </row>
    <row r="630" spans="1:8" hidden="1">
      <c r="A630" s="2" t="s">
        <v>6</v>
      </c>
      <c r="B630" s="2"/>
      <c r="C630" s="2" t="s">
        <v>1037</v>
      </c>
      <c r="D630" s="8">
        <v>45321</v>
      </c>
      <c r="E630" s="8"/>
      <c r="F630" s="8">
        <v>45376</v>
      </c>
      <c r="G630" s="8">
        <v>45336</v>
      </c>
      <c r="H630" s="4" t="s">
        <v>1239</v>
      </c>
    </row>
    <row r="631" spans="1:8" hidden="1">
      <c r="A631" s="2" t="s">
        <v>5</v>
      </c>
      <c r="B631" s="2"/>
      <c r="C631" s="2" t="s">
        <v>1033</v>
      </c>
      <c r="D631" s="8">
        <v>45341</v>
      </c>
      <c r="E631" s="8"/>
      <c r="F631" s="8">
        <v>45370</v>
      </c>
      <c r="G631" s="8">
        <v>45356</v>
      </c>
      <c r="H631" s="4" t="s">
        <v>1240</v>
      </c>
    </row>
    <row r="632" spans="1:8" hidden="1">
      <c r="A632" s="2" t="s">
        <v>5</v>
      </c>
      <c r="B632" s="2"/>
      <c r="C632" s="2" t="s">
        <v>1040</v>
      </c>
      <c r="D632" s="8">
        <v>45336</v>
      </c>
      <c r="E632" s="8"/>
      <c r="F632" s="8">
        <v>45378</v>
      </c>
      <c r="G632" s="8">
        <v>45351</v>
      </c>
      <c r="H632" s="4" t="s">
        <v>1241</v>
      </c>
    </row>
    <row r="633" spans="1:8" hidden="1">
      <c r="A633" s="2" t="s">
        <v>8</v>
      </c>
      <c r="B633" s="2"/>
      <c r="C633" s="2" t="s">
        <v>1041</v>
      </c>
      <c r="D633" s="8">
        <v>45343</v>
      </c>
      <c r="E633" s="8"/>
      <c r="F633" s="8">
        <v>45382</v>
      </c>
      <c r="G633" s="8">
        <v>45358</v>
      </c>
      <c r="H633" s="4" t="s">
        <v>1242</v>
      </c>
    </row>
    <row r="634" spans="1:8" hidden="1">
      <c r="A634" s="2" t="s">
        <v>8</v>
      </c>
      <c r="B634" s="2"/>
      <c r="C634" s="2" t="s">
        <v>1041</v>
      </c>
      <c r="D634" s="8">
        <v>45343</v>
      </c>
      <c r="E634" s="8"/>
      <c r="F634" s="8">
        <v>45382</v>
      </c>
      <c r="G634" s="8">
        <v>45358</v>
      </c>
      <c r="H634" s="4" t="s">
        <v>1243</v>
      </c>
    </row>
    <row r="635" spans="1:8" hidden="1">
      <c r="A635" s="2" t="s">
        <v>8</v>
      </c>
      <c r="B635" s="2"/>
      <c r="C635" s="2" t="s">
        <v>1041</v>
      </c>
      <c r="D635" s="8">
        <v>45343</v>
      </c>
      <c r="E635" s="8"/>
      <c r="F635" s="8">
        <v>45382</v>
      </c>
      <c r="G635" s="8">
        <v>45358</v>
      </c>
      <c r="H635" s="4" t="s">
        <v>1244</v>
      </c>
    </row>
    <row r="636" spans="1:8" hidden="1">
      <c r="A636" s="2" t="s">
        <v>8</v>
      </c>
      <c r="B636" s="2"/>
      <c r="C636" s="2" t="s">
        <v>1041</v>
      </c>
      <c r="D636" s="8">
        <v>45343</v>
      </c>
      <c r="E636" s="8"/>
      <c r="F636" s="8">
        <v>45382</v>
      </c>
      <c r="G636" s="8">
        <v>45358</v>
      </c>
      <c r="H636" s="4" t="s">
        <v>1244</v>
      </c>
    </row>
    <row r="637" spans="1:8" hidden="1">
      <c r="A637" s="2" t="s">
        <v>8</v>
      </c>
      <c r="B637" s="2"/>
      <c r="C637" s="2" t="s">
        <v>1041</v>
      </c>
      <c r="D637" s="8">
        <v>45343</v>
      </c>
      <c r="E637" s="8"/>
      <c r="F637" s="8">
        <v>45382</v>
      </c>
      <c r="G637" s="8">
        <v>45358</v>
      </c>
      <c r="H637" s="4" t="s">
        <v>1245</v>
      </c>
    </row>
    <row r="638" spans="1:8" hidden="1">
      <c r="A638" s="2" t="s">
        <v>8</v>
      </c>
      <c r="B638" s="2"/>
      <c r="C638" s="2" t="s">
        <v>1041</v>
      </c>
      <c r="D638" s="8">
        <v>45343</v>
      </c>
      <c r="E638" s="8"/>
      <c r="F638" s="8">
        <v>45382</v>
      </c>
      <c r="G638" s="8">
        <v>45358</v>
      </c>
      <c r="H638" s="4" t="s">
        <v>1246</v>
      </c>
    </row>
    <row r="639" spans="1:8" hidden="1">
      <c r="A639" s="2" t="s">
        <v>8</v>
      </c>
      <c r="B639" s="2"/>
      <c r="C639" s="2" t="s">
        <v>1041</v>
      </c>
      <c r="D639" s="8">
        <v>45343</v>
      </c>
      <c r="E639" s="8"/>
      <c r="F639" s="8">
        <v>45382</v>
      </c>
      <c r="G639" s="8">
        <v>45358</v>
      </c>
      <c r="H639" s="4" t="s">
        <v>1244</v>
      </c>
    </row>
    <row r="640" spans="1:8" hidden="1">
      <c r="A640" s="2" t="s">
        <v>6</v>
      </c>
      <c r="B640" s="2"/>
      <c r="C640" s="2" t="s">
        <v>1043</v>
      </c>
      <c r="D640" s="8">
        <v>45349</v>
      </c>
      <c r="E640" s="8"/>
      <c r="F640" s="8">
        <v>45376</v>
      </c>
      <c r="G640" s="8">
        <v>45364</v>
      </c>
      <c r="H640" s="4" t="s">
        <v>1247</v>
      </c>
    </row>
    <row r="641" spans="1:8" hidden="1">
      <c r="A641" s="2" t="s">
        <v>8</v>
      </c>
      <c r="B641" s="2"/>
      <c r="C641" s="2" t="s">
        <v>1042</v>
      </c>
      <c r="D641" s="8">
        <v>45348</v>
      </c>
      <c r="E641" s="8"/>
      <c r="F641" s="8">
        <v>45377</v>
      </c>
      <c r="G641" s="8">
        <v>45363</v>
      </c>
      <c r="H641" s="4" t="s">
        <v>1248</v>
      </c>
    </row>
    <row r="642" spans="1:8" hidden="1">
      <c r="A642" s="2" t="s">
        <v>8</v>
      </c>
      <c r="B642" s="2"/>
      <c r="C642" s="2" t="s">
        <v>1042</v>
      </c>
      <c r="D642" s="8">
        <v>45348</v>
      </c>
      <c r="E642" s="8"/>
      <c r="F642" s="8">
        <v>45377</v>
      </c>
      <c r="G642" s="8">
        <v>45363</v>
      </c>
      <c r="H642" s="4" t="s">
        <v>1249</v>
      </c>
    </row>
    <row r="643" spans="1:8" hidden="1">
      <c r="A643" s="2" t="s">
        <v>8</v>
      </c>
      <c r="B643" s="2"/>
      <c r="C643" s="2" t="s">
        <v>1042</v>
      </c>
      <c r="D643" s="8">
        <v>45348</v>
      </c>
      <c r="E643" s="8"/>
      <c r="F643" s="8">
        <v>45377</v>
      </c>
      <c r="G643" s="8">
        <v>45363</v>
      </c>
      <c r="H643" s="4" t="s">
        <v>1250</v>
      </c>
    </row>
    <row r="644" spans="1:8" hidden="1">
      <c r="A644" s="2" t="s">
        <v>8</v>
      </c>
      <c r="B644" s="2"/>
      <c r="C644" s="2" t="s">
        <v>1042</v>
      </c>
      <c r="D644" s="8">
        <v>45348</v>
      </c>
      <c r="E644" s="8"/>
      <c r="F644" s="8">
        <v>45377</v>
      </c>
      <c r="G644" s="8">
        <v>45363</v>
      </c>
      <c r="H644" s="4" t="s">
        <v>1251</v>
      </c>
    </row>
    <row r="645" spans="1:8" hidden="1">
      <c r="A645" s="2" t="s">
        <v>8</v>
      </c>
      <c r="B645" s="2"/>
      <c r="C645" s="2" t="s">
        <v>1042</v>
      </c>
      <c r="D645" s="8">
        <v>45348</v>
      </c>
      <c r="E645" s="8"/>
      <c r="F645" s="8">
        <v>45377</v>
      </c>
      <c r="G645" s="8">
        <v>45363</v>
      </c>
      <c r="H645" s="4" t="s">
        <v>1252</v>
      </c>
    </row>
    <row r="646" spans="1:8" hidden="1">
      <c r="A646" s="2" t="s">
        <v>8</v>
      </c>
      <c r="B646" s="2"/>
      <c r="C646" s="2" t="s">
        <v>1042</v>
      </c>
      <c r="D646" s="8">
        <v>45348</v>
      </c>
      <c r="E646" s="8"/>
      <c r="F646" s="8">
        <v>45377</v>
      </c>
      <c r="G646" s="8">
        <v>45363</v>
      </c>
      <c r="H646" s="4" t="s">
        <v>1253</v>
      </c>
    </row>
    <row r="647" spans="1:8" hidden="1">
      <c r="A647" s="2" t="s">
        <v>8</v>
      </c>
      <c r="B647" s="2"/>
      <c r="C647" s="2" t="s">
        <v>1044</v>
      </c>
      <c r="D647" s="8">
        <v>45345</v>
      </c>
      <c r="E647" s="8"/>
      <c r="F647" s="8">
        <v>45356</v>
      </c>
      <c r="G647" s="8">
        <v>45360</v>
      </c>
      <c r="H647" s="4" t="s">
        <v>1254</v>
      </c>
    </row>
    <row r="648" spans="1:8" hidden="1">
      <c r="A648" s="2" t="s">
        <v>8</v>
      </c>
      <c r="B648" s="2"/>
      <c r="C648" s="2" t="s">
        <v>1044</v>
      </c>
      <c r="D648" s="8">
        <v>45345</v>
      </c>
      <c r="E648" s="8"/>
      <c r="F648" s="8">
        <v>45356</v>
      </c>
      <c r="G648" s="8">
        <v>45360</v>
      </c>
      <c r="H648" s="4" t="s">
        <v>1255</v>
      </c>
    </row>
    <row r="649" spans="1:8" hidden="1">
      <c r="A649" s="2" t="s">
        <v>8</v>
      </c>
      <c r="B649" s="2"/>
      <c r="C649" s="2" t="s">
        <v>1044</v>
      </c>
      <c r="D649" s="8">
        <v>45345</v>
      </c>
      <c r="E649" s="8"/>
      <c r="F649" s="8">
        <v>45356</v>
      </c>
      <c r="G649" s="8">
        <v>45360</v>
      </c>
      <c r="H649" s="4" t="s">
        <v>1256</v>
      </c>
    </row>
    <row r="650" spans="1:8" hidden="1">
      <c r="A650" s="2" t="s">
        <v>8</v>
      </c>
      <c r="B650" s="2"/>
      <c r="C650" s="2" t="s">
        <v>1044</v>
      </c>
      <c r="D650" s="8">
        <v>45345</v>
      </c>
      <c r="E650" s="8"/>
      <c r="F650" s="8">
        <v>45356</v>
      </c>
      <c r="G650" s="8">
        <v>45360</v>
      </c>
      <c r="H650" s="4" t="s">
        <v>1257</v>
      </c>
    </row>
    <row r="651" spans="1:8" hidden="1">
      <c r="A651" s="2" t="s">
        <v>5</v>
      </c>
      <c r="B651" s="2"/>
      <c r="C651" s="2" t="s">
        <v>1045</v>
      </c>
      <c r="D651" s="8">
        <v>45349</v>
      </c>
      <c r="E651" s="8"/>
      <c r="F651" s="8">
        <v>45374</v>
      </c>
      <c r="G651" s="8">
        <v>45364</v>
      </c>
      <c r="H651" s="4" t="s">
        <v>1258</v>
      </c>
    </row>
    <row r="652" spans="1:8" hidden="1">
      <c r="A652" s="2" t="s">
        <v>5</v>
      </c>
      <c r="B652" s="2"/>
      <c r="C652" s="2" t="s">
        <v>1045</v>
      </c>
      <c r="D652" s="8">
        <v>45349</v>
      </c>
      <c r="E652" s="8"/>
      <c r="F652" s="8">
        <v>45374</v>
      </c>
      <c r="G652" s="8">
        <v>45364</v>
      </c>
      <c r="H652" s="4" t="s">
        <v>1259</v>
      </c>
    </row>
    <row r="653" spans="1:8" hidden="1">
      <c r="A653" s="2" t="s">
        <v>8</v>
      </c>
      <c r="B653" s="2"/>
      <c r="C653" s="2" t="s">
        <v>1046</v>
      </c>
      <c r="D653" s="8">
        <v>45336</v>
      </c>
      <c r="E653" s="8"/>
      <c r="F653" s="8">
        <v>45378</v>
      </c>
      <c r="G653" s="8">
        <v>45351</v>
      </c>
      <c r="H653" s="4" t="s">
        <v>1260</v>
      </c>
    </row>
    <row r="654" spans="1:8" hidden="1">
      <c r="A654" s="2" t="s">
        <v>8</v>
      </c>
      <c r="B654" s="2"/>
      <c r="C654" s="15" t="s">
        <v>1046</v>
      </c>
      <c r="D654" s="12">
        <v>45336</v>
      </c>
      <c r="E654" s="12"/>
      <c r="F654" s="12">
        <v>45378</v>
      </c>
      <c r="G654" s="12">
        <v>45351</v>
      </c>
      <c r="H654" s="4" t="s">
        <v>1261</v>
      </c>
    </row>
    <row r="655" spans="1:8" hidden="1">
      <c r="A655" s="2" t="s">
        <v>8</v>
      </c>
      <c r="B655" s="2"/>
      <c r="C655" s="2" t="s">
        <v>1046</v>
      </c>
      <c r="D655" s="8">
        <v>45336</v>
      </c>
      <c r="E655" s="8"/>
      <c r="F655" s="8">
        <v>45378</v>
      </c>
      <c r="G655" s="8">
        <v>45351</v>
      </c>
      <c r="H655" s="4" t="s">
        <v>1262</v>
      </c>
    </row>
    <row r="656" spans="1:8" hidden="1">
      <c r="A656" s="2" t="s">
        <v>8</v>
      </c>
      <c r="B656" s="2"/>
      <c r="C656" s="2" t="s">
        <v>1046</v>
      </c>
      <c r="D656" s="8">
        <v>45336</v>
      </c>
      <c r="E656" s="8"/>
      <c r="F656" s="8">
        <v>45378</v>
      </c>
      <c r="G656" s="8">
        <v>45351</v>
      </c>
      <c r="H656" s="4" t="s">
        <v>1263</v>
      </c>
    </row>
    <row r="657" spans="1:8" hidden="1">
      <c r="A657" s="2" t="s">
        <v>8</v>
      </c>
      <c r="B657" s="2"/>
      <c r="C657" s="2" t="s">
        <v>1046</v>
      </c>
      <c r="D657" s="8">
        <v>45336</v>
      </c>
      <c r="E657" s="8"/>
      <c r="F657" s="8">
        <v>45378</v>
      </c>
      <c r="G657" s="8">
        <v>45351</v>
      </c>
      <c r="H657" s="4" t="s">
        <v>1264</v>
      </c>
    </row>
    <row r="658" spans="1:8" hidden="1">
      <c r="A658" s="2" t="s">
        <v>8</v>
      </c>
      <c r="B658" s="2"/>
      <c r="C658" s="2" t="s">
        <v>1047</v>
      </c>
      <c r="D658" s="8">
        <v>45352</v>
      </c>
      <c r="E658" s="8"/>
      <c r="F658" s="8">
        <v>45382</v>
      </c>
      <c r="G658" s="8">
        <v>45367</v>
      </c>
      <c r="H658" s="4" t="s">
        <v>1265</v>
      </c>
    </row>
    <row r="659" spans="1:8" hidden="1">
      <c r="A659" s="2" t="s">
        <v>8</v>
      </c>
      <c r="B659" s="2"/>
      <c r="C659" s="2" t="s">
        <v>1047</v>
      </c>
      <c r="D659" s="8">
        <v>45352</v>
      </c>
      <c r="E659" s="8"/>
      <c r="F659" s="8">
        <v>45382</v>
      </c>
      <c r="G659" s="8">
        <v>45367</v>
      </c>
      <c r="H659" s="4" t="s">
        <v>1266</v>
      </c>
    </row>
    <row r="660" spans="1:8" hidden="1">
      <c r="A660" s="2" t="s">
        <v>8</v>
      </c>
      <c r="B660" s="2"/>
      <c r="C660" s="2" t="s">
        <v>1047</v>
      </c>
      <c r="D660" s="8">
        <v>45352</v>
      </c>
      <c r="E660" s="8"/>
      <c r="F660" s="8">
        <v>45382</v>
      </c>
      <c r="G660" s="8">
        <v>45367</v>
      </c>
      <c r="H660" s="4" t="s">
        <v>1267</v>
      </c>
    </row>
    <row r="661" spans="1:8" hidden="1">
      <c r="A661" s="2" t="s">
        <v>8</v>
      </c>
      <c r="B661" s="2"/>
      <c r="C661" s="2" t="s">
        <v>1047</v>
      </c>
      <c r="D661" s="8">
        <v>45352</v>
      </c>
      <c r="E661" s="8"/>
      <c r="F661" s="8">
        <v>45382</v>
      </c>
      <c r="G661" s="8">
        <v>45367</v>
      </c>
      <c r="H661" s="4" t="s">
        <v>1268</v>
      </c>
    </row>
    <row r="662" spans="1:8" hidden="1">
      <c r="A662" s="2" t="s">
        <v>8</v>
      </c>
      <c r="B662" s="2"/>
      <c r="C662" s="2" t="s">
        <v>1047</v>
      </c>
      <c r="D662" s="8">
        <v>45352</v>
      </c>
      <c r="E662" s="8"/>
      <c r="F662" s="8">
        <v>45382</v>
      </c>
      <c r="G662" s="8">
        <v>45367</v>
      </c>
      <c r="H662" s="4" t="s">
        <v>1268</v>
      </c>
    </row>
    <row r="663" spans="1:8" hidden="1">
      <c r="A663" s="2" t="s">
        <v>8</v>
      </c>
      <c r="B663" s="2"/>
      <c r="C663" s="2" t="s">
        <v>1047</v>
      </c>
      <c r="D663" s="8">
        <v>45352</v>
      </c>
      <c r="E663" s="8"/>
      <c r="F663" s="8">
        <v>45382</v>
      </c>
      <c r="G663" s="8">
        <v>45367</v>
      </c>
      <c r="H663" s="4" t="s">
        <v>1269</v>
      </c>
    </row>
    <row r="664" spans="1:8" hidden="1">
      <c r="A664" s="2" t="s">
        <v>8</v>
      </c>
      <c r="B664" s="2"/>
      <c r="C664" s="2" t="s">
        <v>1047</v>
      </c>
      <c r="D664" s="8">
        <v>45352</v>
      </c>
      <c r="E664" s="8"/>
      <c r="F664" s="8">
        <v>45382</v>
      </c>
      <c r="G664" s="8">
        <v>45367</v>
      </c>
      <c r="H664" s="4" t="s">
        <v>1270</v>
      </c>
    </row>
    <row r="665" spans="1:8" hidden="1">
      <c r="A665" s="2" t="s">
        <v>8</v>
      </c>
      <c r="B665" s="2"/>
      <c r="C665" s="2" t="s">
        <v>1047</v>
      </c>
      <c r="D665" s="8">
        <v>45352</v>
      </c>
      <c r="E665" s="8"/>
      <c r="F665" s="8">
        <v>45382</v>
      </c>
      <c r="G665" s="8">
        <v>45367</v>
      </c>
      <c r="H665" s="4" t="s">
        <v>1271</v>
      </c>
    </row>
    <row r="666" spans="1:8" hidden="1">
      <c r="A666" s="2" t="s">
        <v>8</v>
      </c>
      <c r="B666" s="2"/>
      <c r="C666" s="2" t="s">
        <v>1047</v>
      </c>
      <c r="D666" s="8">
        <v>45352</v>
      </c>
      <c r="E666" s="8"/>
      <c r="F666" s="8">
        <v>45382</v>
      </c>
      <c r="G666" s="8">
        <v>45367</v>
      </c>
      <c r="H666" s="4" t="s">
        <v>1272</v>
      </c>
    </row>
    <row r="667" spans="1:8" hidden="1">
      <c r="A667" s="2" t="s">
        <v>2</v>
      </c>
      <c r="B667" s="2"/>
      <c r="C667" s="2" t="s">
        <v>1030</v>
      </c>
      <c r="D667" s="8">
        <v>45352</v>
      </c>
      <c r="E667" s="8"/>
      <c r="F667" s="8">
        <v>45380</v>
      </c>
      <c r="G667" s="8">
        <v>45367</v>
      </c>
      <c r="H667" s="4" t="s">
        <v>1273</v>
      </c>
    </row>
    <row r="668" spans="1:8" hidden="1">
      <c r="A668" s="2" t="s">
        <v>2</v>
      </c>
      <c r="B668" s="2"/>
      <c r="C668" s="2" t="s">
        <v>1030</v>
      </c>
      <c r="D668" s="8">
        <v>45352</v>
      </c>
      <c r="E668" s="8"/>
      <c r="F668" s="8">
        <v>45380</v>
      </c>
      <c r="G668" s="8">
        <v>45367</v>
      </c>
      <c r="H668" s="4" t="s">
        <v>1274</v>
      </c>
    </row>
    <row r="669" spans="1:8" hidden="1">
      <c r="A669" s="2" t="s">
        <v>8</v>
      </c>
      <c r="B669" s="2"/>
      <c r="C669" s="2" t="s">
        <v>1007</v>
      </c>
      <c r="D669" s="8">
        <v>45350</v>
      </c>
      <c r="E669" s="8"/>
      <c r="F669" s="8">
        <v>45377</v>
      </c>
      <c r="G669" s="8">
        <v>45365</v>
      </c>
      <c r="H669" s="4" t="s">
        <v>1275</v>
      </c>
    </row>
    <row r="670" spans="1:8" hidden="1">
      <c r="A670" s="2" t="s">
        <v>8</v>
      </c>
      <c r="B670" s="2"/>
      <c r="C670" s="2" t="s">
        <v>1007</v>
      </c>
      <c r="D670" s="8">
        <v>45350</v>
      </c>
      <c r="E670" s="8"/>
      <c r="F670" s="8">
        <v>45377</v>
      </c>
      <c r="G670" s="8">
        <v>45365</v>
      </c>
      <c r="H670" s="4" t="s">
        <v>1276</v>
      </c>
    </row>
    <row r="671" spans="1:8" hidden="1">
      <c r="A671" s="2" t="s">
        <v>6</v>
      </c>
      <c r="B671" s="2"/>
      <c r="C671" s="2" t="s">
        <v>1048</v>
      </c>
      <c r="D671" s="8">
        <v>45365</v>
      </c>
      <c r="E671" s="8"/>
      <c r="F671" s="8">
        <v>45399</v>
      </c>
      <c r="G671" s="8">
        <v>45380</v>
      </c>
      <c r="H671" s="4" t="s">
        <v>552</v>
      </c>
    </row>
    <row r="672" spans="1:8" hidden="1">
      <c r="A672" s="2" t="s">
        <v>5</v>
      </c>
      <c r="B672" s="2"/>
      <c r="C672" s="2" t="s">
        <v>1033</v>
      </c>
      <c r="D672" s="8">
        <v>45358</v>
      </c>
      <c r="E672" s="8"/>
      <c r="F672" s="8">
        <v>45380</v>
      </c>
      <c r="G672" s="8">
        <v>45373</v>
      </c>
      <c r="H672" s="4" t="s">
        <v>553</v>
      </c>
    </row>
    <row r="673" spans="1:8" hidden="1">
      <c r="A673" s="2" t="s">
        <v>5</v>
      </c>
      <c r="B673" s="2"/>
      <c r="C673" s="2" t="s">
        <v>1033</v>
      </c>
      <c r="D673" s="8">
        <v>45358</v>
      </c>
      <c r="E673" s="8"/>
      <c r="F673" s="8">
        <v>45380</v>
      </c>
      <c r="G673" s="8">
        <v>45373</v>
      </c>
      <c r="H673" s="4" t="s">
        <v>553</v>
      </c>
    </row>
    <row r="674" spans="1:8" hidden="1">
      <c r="A674" s="2" t="s">
        <v>5</v>
      </c>
      <c r="B674" s="2"/>
      <c r="C674" s="2" t="s">
        <v>1033</v>
      </c>
      <c r="D674" s="8">
        <v>45358</v>
      </c>
      <c r="E674" s="8"/>
      <c r="F674" s="8">
        <v>45380</v>
      </c>
      <c r="G674" s="8">
        <v>45373</v>
      </c>
      <c r="H674" s="4" t="s">
        <v>553</v>
      </c>
    </row>
    <row r="675" spans="1:8" hidden="1">
      <c r="A675" s="2" t="s">
        <v>5</v>
      </c>
      <c r="B675" s="2"/>
      <c r="C675" s="2" t="s">
        <v>1033</v>
      </c>
      <c r="D675" s="8">
        <v>45358</v>
      </c>
      <c r="E675" s="8"/>
      <c r="F675" s="8">
        <v>45380</v>
      </c>
      <c r="G675" s="8">
        <v>45373</v>
      </c>
      <c r="H675" s="4" t="s">
        <v>553</v>
      </c>
    </row>
    <row r="676" spans="1:8" hidden="1">
      <c r="A676" s="2" t="s">
        <v>5</v>
      </c>
      <c r="B676" s="2"/>
      <c r="C676" s="2" t="s">
        <v>1049</v>
      </c>
      <c r="D676" s="8">
        <v>45365</v>
      </c>
      <c r="E676" s="8"/>
      <c r="F676" s="8">
        <v>45396</v>
      </c>
      <c r="G676" s="8">
        <v>45380</v>
      </c>
      <c r="H676" s="4" t="s">
        <v>554</v>
      </c>
    </row>
    <row r="677" spans="1:8" hidden="1">
      <c r="A677" s="2" t="s">
        <v>2</v>
      </c>
      <c r="B677" s="2"/>
      <c r="C677" s="2" t="s">
        <v>1030</v>
      </c>
      <c r="D677" s="8">
        <v>45352</v>
      </c>
      <c r="E677" s="8"/>
      <c r="F677" s="8">
        <v>45380</v>
      </c>
      <c r="G677" s="8">
        <v>45367</v>
      </c>
      <c r="H677" s="4" t="s">
        <v>1277</v>
      </c>
    </row>
    <row r="678" spans="1:8" hidden="1">
      <c r="A678" s="2" t="s">
        <v>8</v>
      </c>
      <c r="B678" s="2"/>
      <c r="C678" s="2" t="s">
        <v>1046</v>
      </c>
      <c r="D678" s="8">
        <v>45370</v>
      </c>
      <c r="E678" s="8"/>
      <c r="F678" s="8">
        <v>45412</v>
      </c>
      <c r="G678" s="8">
        <v>45385</v>
      </c>
      <c r="H678" s="4" t="s">
        <v>555</v>
      </c>
    </row>
    <row r="679" spans="1:8" hidden="1">
      <c r="A679" s="2" t="s">
        <v>8</v>
      </c>
      <c r="B679" s="2"/>
      <c r="C679" s="2" t="s">
        <v>1046</v>
      </c>
      <c r="D679" s="8">
        <v>45370</v>
      </c>
      <c r="E679" s="8"/>
      <c r="F679" s="8">
        <v>45412</v>
      </c>
      <c r="G679" s="8">
        <v>45385</v>
      </c>
      <c r="H679" s="4" t="s">
        <v>556</v>
      </c>
    </row>
    <row r="680" spans="1:8" hidden="1">
      <c r="A680" s="2" t="s">
        <v>8</v>
      </c>
      <c r="B680" s="2"/>
      <c r="C680" s="6" t="s">
        <v>1046</v>
      </c>
      <c r="D680" s="13">
        <v>45370</v>
      </c>
      <c r="E680" s="13"/>
      <c r="F680" s="13">
        <v>45412</v>
      </c>
      <c r="G680" s="13">
        <v>45385</v>
      </c>
      <c r="H680" s="4" t="s">
        <v>557</v>
      </c>
    </row>
    <row r="681" spans="1:8" hidden="1">
      <c r="A681" s="2" t="s">
        <v>8</v>
      </c>
      <c r="B681" s="2"/>
      <c r="C681" s="2" t="s">
        <v>1046</v>
      </c>
      <c r="D681" s="8">
        <v>45370</v>
      </c>
      <c r="E681" s="8"/>
      <c r="F681" s="8">
        <v>45412</v>
      </c>
      <c r="G681" s="8">
        <v>45385</v>
      </c>
      <c r="H681" s="4" t="s">
        <v>558</v>
      </c>
    </row>
    <row r="682" spans="1:8" hidden="1">
      <c r="A682" s="2" t="s">
        <v>8</v>
      </c>
      <c r="B682" s="2"/>
      <c r="C682" s="2" t="s">
        <v>1046</v>
      </c>
      <c r="D682" s="8">
        <v>45363</v>
      </c>
      <c r="E682" s="8"/>
      <c r="F682" s="8">
        <v>45382</v>
      </c>
      <c r="G682" s="8">
        <v>45378</v>
      </c>
      <c r="H682" s="4" t="s">
        <v>559</v>
      </c>
    </row>
    <row r="683" spans="1:8" hidden="1">
      <c r="A683" s="2" t="s">
        <v>8</v>
      </c>
      <c r="B683" s="2"/>
      <c r="C683" s="2" t="s">
        <v>1050</v>
      </c>
      <c r="D683" s="8">
        <v>45369</v>
      </c>
      <c r="E683" s="8"/>
      <c r="F683" s="8">
        <v>45397</v>
      </c>
      <c r="G683" s="8">
        <v>45384</v>
      </c>
      <c r="H683" s="4" t="s">
        <v>560</v>
      </c>
    </row>
    <row r="684" spans="1:8" hidden="1">
      <c r="A684" s="2" t="s">
        <v>8</v>
      </c>
      <c r="B684" s="2"/>
      <c r="C684" s="2" t="s">
        <v>1050</v>
      </c>
      <c r="D684" s="8">
        <v>45369</v>
      </c>
      <c r="E684" s="8"/>
      <c r="F684" s="8">
        <v>45397</v>
      </c>
      <c r="G684" s="8">
        <v>45384</v>
      </c>
      <c r="H684" s="4" t="s">
        <v>561</v>
      </c>
    </row>
    <row r="685" spans="1:8" hidden="1">
      <c r="A685" s="2" t="s">
        <v>8</v>
      </c>
      <c r="B685" s="2"/>
      <c r="C685" s="2" t="s">
        <v>1050</v>
      </c>
      <c r="D685" s="8">
        <v>45369</v>
      </c>
      <c r="E685" s="8"/>
      <c r="F685" s="8">
        <v>45397</v>
      </c>
      <c r="G685" s="8">
        <v>45384</v>
      </c>
      <c r="H685" s="4" t="s">
        <v>562</v>
      </c>
    </row>
    <row r="686" spans="1:8" hidden="1">
      <c r="A686" s="2" t="s">
        <v>8</v>
      </c>
      <c r="B686" s="2"/>
      <c r="C686" s="2" t="s">
        <v>1050</v>
      </c>
      <c r="D686" s="8">
        <v>45369</v>
      </c>
      <c r="E686" s="8"/>
      <c r="F686" s="8">
        <v>45397</v>
      </c>
      <c r="G686" s="8">
        <v>45384</v>
      </c>
      <c r="H686" s="4" t="s">
        <v>562</v>
      </c>
    </row>
    <row r="687" spans="1:8" hidden="1">
      <c r="A687" s="2" t="s">
        <v>8</v>
      </c>
      <c r="B687" s="2"/>
      <c r="C687" s="2" t="s">
        <v>1050</v>
      </c>
      <c r="D687" s="8">
        <v>45343</v>
      </c>
      <c r="E687" s="8"/>
      <c r="F687" s="8">
        <v>45382</v>
      </c>
      <c r="G687" s="8">
        <v>45358</v>
      </c>
      <c r="H687" s="4" t="s">
        <v>1278</v>
      </c>
    </row>
    <row r="688" spans="1:8" hidden="1">
      <c r="A688" s="2" t="s">
        <v>8</v>
      </c>
      <c r="B688" s="2"/>
      <c r="C688" s="2" t="s">
        <v>1050</v>
      </c>
      <c r="D688" s="8">
        <v>45343</v>
      </c>
      <c r="E688" s="8"/>
      <c r="F688" s="8">
        <v>45382</v>
      </c>
      <c r="G688" s="8">
        <v>45358</v>
      </c>
      <c r="H688" s="4" t="s">
        <v>1278</v>
      </c>
    </row>
    <row r="689" spans="1:8" hidden="1">
      <c r="A689" s="2" t="s">
        <v>8</v>
      </c>
      <c r="B689" s="2"/>
      <c r="C689" s="2" t="s">
        <v>1050</v>
      </c>
      <c r="D689" s="8">
        <v>45343</v>
      </c>
      <c r="E689" s="8"/>
      <c r="F689" s="8">
        <v>45382</v>
      </c>
      <c r="G689" s="8">
        <v>45358</v>
      </c>
      <c r="H689" s="4" t="s">
        <v>1278</v>
      </c>
    </row>
    <row r="690" spans="1:8" hidden="1">
      <c r="A690" s="2" t="s">
        <v>8</v>
      </c>
      <c r="B690" s="2"/>
      <c r="C690" s="2" t="s">
        <v>1050</v>
      </c>
      <c r="D690" s="8">
        <v>45343</v>
      </c>
      <c r="E690" s="8"/>
      <c r="F690" s="8">
        <v>45382</v>
      </c>
      <c r="G690" s="8">
        <v>45358</v>
      </c>
      <c r="H690" s="4" t="s">
        <v>1279</v>
      </c>
    </row>
    <row r="691" spans="1:8" hidden="1">
      <c r="A691" s="2" t="s">
        <v>8</v>
      </c>
      <c r="B691" s="2"/>
      <c r="C691" s="2" t="s">
        <v>1050</v>
      </c>
      <c r="D691" s="8">
        <v>45343</v>
      </c>
      <c r="E691" s="8"/>
      <c r="F691" s="8">
        <v>45382</v>
      </c>
      <c r="G691" s="8">
        <v>45358</v>
      </c>
      <c r="H691" s="4" t="s">
        <v>1279</v>
      </c>
    </row>
    <row r="692" spans="1:8" hidden="1">
      <c r="A692" s="2" t="s">
        <v>8</v>
      </c>
      <c r="B692" s="2"/>
      <c r="C692" s="2" t="s">
        <v>1050</v>
      </c>
      <c r="D692" s="8">
        <v>45343</v>
      </c>
      <c r="E692" s="8"/>
      <c r="F692" s="8">
        <v>45382</v>
      </c>
      <c r="G692" s="8">
        <v>45358</v>
      </c>
      <c r="H692" s="4" t="s">
        <v>1279</v>
      </c>
    </row>
    <row r="693" spans="1:8" hidden="1">
      <c r="A693" s="2" t="s">
        <v>8</v>
      </c>
      <c r="B693" s="2"/>
      <c r="C693" s="2" t="s">
        <v>1050</v>
      </c>
      <c r="D693" s="8">
        <v>45343</v>
      </c>
      <c r="E693" s="8"/>
      <c r="F693" s="8">
        <v>45382</v>
      </c>
      <c r="G693" s="8">
        <v>45358</v>
      </c>
      <c r="H693" s="4" t="s">
        <v>1280</v>
      </c>
    </row>
    <row r="694" spans="1:8" hidden="1">
      <c r="A694" s="2" t="s">
        <v>8</v>
      </c>
      <c r="B694" s="2"/>
      <c r="C694" s="2" t="s">
        <v>1050</v>
      </c>
      <c r="D694" s="8">
        <v>45343</v>
      </c>
      <c r="E694" s="8"/>
      <c r="F694" s="8">
        <v>45382</v>
      </c>
      <c r="G694" s="8">
        <v>45358</v>
      </c>
      <c r="H694" s="4" t="s">
        <v>1280</v>
      </c>
    </row>
    <row r="695" spans="1:8" hidden="1">
      <c r="A695" s="2" t="s">
        <v>8</v>
      </c>
      <c r="B695" s="2"/>
      <c r="C695" s="2" t="s">
        <v>1050</v>
      </c>
      <c r="D695" s="8">
        <v>45343</v>
      </c>
      <c r="E695" s="8"/>
      <c r="F695" s="8">
        <v>45382</v>
      </c>
      <c r="G695" s="8">
        <v>45358</v>
      </c>
      <c r="H695" s="4" t="s">
        <v>1280</v>
      </c>
    </row>
    <row r="696" spans="1:8" hidden="1">
      <c r="A696" s="2" t="s">
        <v>8</v>
      </c>
      <c r="B696" s="2"/>
      <c r="C696" s="2" t="s">
        <v>1050</v>
      </c>
      <c r="D696" s="8">
        <v>45343</v>
      </c>
      <c r="E696" s="8"/>
      <c r="F696" s="8">
        <v>45382</v>
      </c>
      <c r="G696" s="8">
        <v>45358</v>
      </c>
      <c r="H696" s="4" t="s">
        <v>1281</v>
      </c>
    </row>
    <row r="697" spans="1:8" hidden="1">
      <c r="A697" s="2" t="s">
        <v>8</v>
      </c>
      <c r="B697" s="2"/>
      <c r="C697" s="2" t="s">
        <v>1050</v>
      </c>
      <c r="D697" s="8">
        <v>45343</v>
      </c>
      <c r="E697" s="8"/>
      <c r="F697" s="8">
        <v>45382</v>
      </c>
      <c r="G697" s="8">
        <v>45358</v>
      </c>
      <c r="H697" s="4" t="s">
        <v>1281</v>
      </c>
    </row>
    <row r="698" spans="1:8" hidden="1">
      <c r="A698" s="2" t="s">
        <v>8</v>
      </c>
      <c r="B698" s="2"/>
      <c r="C698" s="2" t="s">
        <v>1050</v>
      </c>
      <c r="D698" s="8">
        <v>45343</v>
      </c>
      <c r="E698" s="8"/>
      <c r="F698" s="8">
        <v>45382</v>
      </c>
      <c r="G698" s="8">
        <v>45358</v>
      </c>
      <c r="H698" s="4" t="s">
        <v>1281</v>
      </c>
    </row>
    <row r="699" spans="1:8" hidden="1">
      <c r="A699" s="2" t="s">
        <v>8</v>
      </c>
      <c r="B699" s="2"/>
      <c r="C699" s="2" t="s">
        <v>1050</v>
      </c>
      <c r="D699" s="8">
        <v>45343</v>
      </c>
      <c r="E699" s="8"/>
      <c r="F699" s="8">
        <v>45382</v>
      </c>
      <c r="G699" s="8">
        <v>45358</v>
      </c>
      <c r="H699" s="4" t="s">
        <v>1282</v>
      </c>
    </row>
    <row r="700" spans="1:8" hidden="1">
      <c r="A700" s="2" t="s">
        <v>8</v>
      </c>
      <c r="B700" s="2"/>
      <c r="C700" s="2" t="s">
        <v>1050</v>
      </c>
      <c r="D700" s="8">
        <v>45343</v>
      </c>
      <c r="E700" s="8"/>
      <c r="F700" s="8">
        <v>45382</v>
      </c>
      <c r="G700" s="8">
        <v>45358</v>
      </c>
      <c r="H700" s="4" t="s">
        <v>1282</v>
      </c>
    </row>
    <row r="701" spans="1:8" hidden="1">
      <c r="A701" s="2" t="s">
        <v>8</v>
      </c>
      <c r="B701" s="2"/>
      <c r="C701" s="2" t="s">
        <v>1050</v>
      </c>
      <c r="D701" s="8">
        <v>45343</v>
      </c>
      <c r="E701" s="8"/>
      <c r="F701" s="8">
        <v>45382</v>
      </c>
      <c r="G701" s="8">
        <v>45358</v>
      </c>
      <c r="H701" s="4" t="s">
        <v>1282</v>
      </c>
    </row>
    <row r="702" spans="1:8" hidden="1">
      <c r="A702" s="2" t="s">
        <v>8</v>
      </c>
      <c r="B702" s="2"/>
      <c r="C702" s="2" t="s">
        <v>1051</v>
      </c>
      <c r="D702" s="8">
        <v>45379</v>
      </c>
      <c r="E702" s="8"/>
      <c r="F702" s="8">
        <v>45413</v>
      </c>
      <c r="G702" s="8">
        <v>45394</v>
      </c>
      <c r="H702" s="4" t="s">
        <v>563</v>
      </c>
    </row>
    <row r="703" spans="1:8" hidden="1">
      <c r="A703" s="2" t="s">
        <v>6</v>
      </c>
      <c r="B703" s="2"/>
      <c r="C703" s="2" t="s">
        <v>1052</v>
      </c>
      <c r="D703" s="8">
        <v>45379</v>
      </c>
      <c r="E703" s="8"/>
      <c r="F703" s="8">
        <v>45399</v>
      </c>
      <c r="G703" s="8">
        <v>45394</v>
      </c>
      <c r="H703" s="4" t="s">
        <v>564</v>
      </c>
    </row>
    <row r="704" spans="1:8" hidden="1">
      <c r="A704" s="2" t="s">
        <v>6</v>
      </c>
      <c r="B704" s="2"/>
      <c r="C704" s="2" t="s">
        <v>1052</v>
      </c>
      <c r="D704" s="8">
        <v>45379</v>
      </c>
      <c r="E704" s="8"/>
      <c r="F704" s="8">
        <v>45399</v>
      </c>
      <c r="G704" s="8">
        <v>45394</v>
      </c>
      <c r="H704" s="4" t="s">
        <v>565</v>
      </c>
    </row>
    <row r="705" spans="1:8" hidden="1">
      <c r="A705" s="2" t="s">
        <v>8</v>
      </c>
      <c r="B705" s="2"/>
      <c r="C705" s="2" t="s">
        <v>1051</v>
      </c>
      <c r="D705" s="8">
        <v>45383</v>
      </c>
      <c r="E705" s="8"/>
      <c r="F705" s="8">
        <v>45444</v>
      </c>
      <c r="G705" s="8">
        <v>45398</v>
      </c>
      <c r="H705" s="4" t="s">
        <v>566</v>
      </c>
    </row>
    <row r="706" spans="1:8" hidden="1">
      <c r="A706" s="2" t="s">
        <v>8</v>
      </c>
      <c r="B706" s="2"/>
      <c r="C706" s="2" t="s">
        <v>1051</v>
      </c>
      <c r="D706" s="8">
        <v>45383</v>
      </c>
      <c r="E706" s="8"/>
      <c r="F706" s="8">
        <v>45444</v>
      </c>
      <c r="G706" s="8">
        <v>45398</v>
      </c>
      <c r="H706" s="4" t="s">
        <v>567</v>
      </c>
    </row>
    <row r="707" spans="1:8" hidden="1">
      <c r="A707" s="2" t="s">
        <v>5</v>
      </c>
      <c r="B707" s="2"/>
      <c r="C707" s="2" t="s">
        <v>301</v>
      </c>
      <c r="D707" s="8">
        <v>45400</v>
      </c>
      <c r="E707" s="8"/>
      <c r="F707" s="8">
        <v>45461</v>
      </c>
      <c r="G707" s="8">
        <v>45415</v>
      </c>
      <c r="H707" s="4" t="s">
        <v>568</v>
      </c>
    </row>
    <row r="708" spans="1:8" hidden="1">
      <c r="A708" s="6" t="s">
        <v>5</v>
      </c>
      <c r="B708" s="6"/>
      <c r="C708" s="6" t="s">
        <v>301</v>
      </c>
      <c r="D708" s="13">
        <v>45400</v>
      </c>
      <c r="E708" s="13"/>
      <c r="F708" s="13">
        <v>45461</v>
      </c>
      <c r="G708" s="13">
        <v>45415</v>
      </c>
      <c r="H708" s="4" t="s">
        <v>569</v>
      </c>
    </row>
    <row r="709" spans="1:8" hidden="1">
      <c r="A709" s="2" t="s">
        <v>5</v>
      </c>
      <c r="B709" s="2"/>
      <c r="C709" s="2" t="s">
        <v>301</v>
      </c>
      <c r="D709" s="8">
        <v>45400</v>
      </c>
      <c r="E709" s="8"/>
      <c r="F709" s="8">
        <v>45461</v>
      </c>
      <c r="G709" s="8">
        <v>45415</v>
      </c>
      <c r="H709" s="4" t="s">
        <v>570</v>
      </c>
    </row>
    <row r="710" spans="1:8" hidden="1">
      <c r="A710" s="2" t="s">
        <v>8</v>
      </c>
      <c r="B710" s="2"/>
      <c r="C710" s="2" t="s">
        <v>1053</v>
      </c>
      <c r="D710" s="8">
        <v>45397</v>
      </c>
      <c r="E710" s="8"/>
      <c r="F710" s="8">
        <v>45427</v>
      </c>
      <c r="G710" s="8">
        <v>45412</v>
      </c>
      <c r="H710" s="4" t="s">
        <v>571</v>
      </c>
    </row>
    <row r="711" spans="1:8" hidden="1">
      <c r="A711" s="2" t="s">
        <v>8</v>
      </c>
      <c r="B711" s="2"/>
      <c r="C711" s="2" t="s">
        <v>1054</v>
      </c>
      <c r="D711" s="8">
        <v>45398</v>
      </c>
      <c r="E711" s="8"/>
      <c r="F711" s="8">
        <v>45438</v>
      </c>
      <c r="G711" s="8">
        <v>45413</v>
      </c>
      <c r="H711" s="4" t="s">
        <v>572</v>
      </c>
    </row>
    <row r="712" spans="1:8" hidden="1">
      <c r="A712" s="2" t="s">
        <v>8</v>
      </c>
      <c r="B712" s="2"/>
      <c r="C712" s="2" t="s">
        <v>1054</v>
      </c>
      <c r="D712" s="8">
        <v>45398</v>
      </c>
      <c r="E712" s="8"/>
      <c r="F712" s="8">
        <v>45438</v>
      </c>
      <c r="G712" s="8">
        <v>45413</v>
      </c>
      <c r="H712" s="4" t="s">
        <v>572</v>
      </c>
    </row>
    <row r="713" spans="1:8" hidden="1">
      <c r="A713" s="2" t="s">
        <v>8</v>
      </c>
      <c r="B713" s="2"/>
      <c r="C713" s="2" t="s">
        <v>1054</v>
      </c>
      <c r="D713" s="8">
        <v>45398</v>
      </c>
      <c r="E713" s="8"/>
      <c r="F713" s="8">
        <v>45438</v>
      </c>
      <c r="G713" s="8">
        <v>45413</v>
      </c>
      <c r="H713" s="4" t="s">
        <v>573</v>
      </c>
    </row>
    <row r="714" spans="1:8" hidden="1">
      <c r="A714" s="2" t="s">
        <v>8</v>
      </c>
      <c r="B714" s="2"/>
      <c r="C714" s="2" t="s">
        <v>1054</v>
      </c>
      <c r="D714" s="8">
        <v>45398</v>
      </c>
      <c r="E714" s="8"/>
      <c r="F714" s="8">
        <v>45438</v>
      </c>
      <c r="G714" s="8">
        <v>45413</v>
      </c>
      <c r="H714" s="4" t="s">
        <v>573</v>
      </c>
    </row>
    <row r="715" spans="1:8" hidden="1">
      <c r="A715" s="2" t="s">
        <v>8</v>
      </c>
      <c r="B715" s="2"/>
      <c r="C715" s="2" t="s">
        <v>1054</v>
      </c>
      <c r="D715" s="8">
        <v>45398</v>
      </c>
      <c r="E715" s="8"/>
      <c r="F715" s="8">
        <v>45438</v>
      </c>
      <c r="G715" s="8">
        <v>45413</v>
      </c>
      <c r="H715" s="4" t="s">
        <v>573</v>
      </c>
    </row>
    <row r="716" spans="1:8" hidden="1">
      <c r="A716" s="2" t="s">
        <v>5</v>
      </c>
      <c r="B716" s="2"/>
      <c r="C716" s="2" t="s">
        <v>1055</v>
      </c>
      <c r="D716" s="8">
        <v>45427</v>
      </c>
      <c r="E716" s="8"/>
      <c r="F716" s="8">
        <v>45461</v>
      </c>
      <c r="G716" s="8">
        <v>45442</v>
      </c>
      <c r="H716" s="4" t="s">
        <v>574</v>
      </c>
    </row>
    <row r="717" spans="1:8" hidden="1">
      <c r="A717" s="2" t="s">
        <v>5</v>
      </c>
      <c r="B717" s="2"/>
      <c r="C717" s="2" t="s">
        <v>1055</v>
      </c>
      <c r="D717" s="8">
        <v>45427</v>
      </c>
      <c r="E717" s="8"/>
      <c r="F717" s="8">
        <v>45461</v>
      </c>
      <c r="G717" s="8">
        <v>45442</v>
      </c>
      <c r="H717" s="4" t="s">
        <v>575</v>
      </c>
    </row>
    <row r="718" spans="1:8" hidden="1">
      <c r="A718" s="2" t="s">
        <v>5</v>
      </c>
      <c r="B718" s="2"/>
      <c r="C718" s="2" t="s">
        <v>1056</v>
      </c>
      <c r="D718" s="8">
        <v>45400</v>
      </c>
      <c r="E718" s="8"/>
      <c r="F718" s="8">
        <v>45461</v>
      </c>
      <c r="G718" s="8">
        <v>45415</v>
      </c>
      <c r="H718" s="4" t="s">
        <v>576</v>
      </c>
    </row>
    <row r="719" spans="1:8" hidden="1">
      <c r="A719" s="2" t="s">
        <v>5</v>
      </c>
      <c r="B719" s="2"/>
      <c r="C719" s="2" t="s">
        <v>1056</v>
      </c>
      <c r="D719" s="8">
        <v>45400</v>
      </c>
      <c r="E719" s="8"/>
      <c r="F719" s="8">
        <v>45461</v>
      </c>
      <c r="G719" s="8">
        <v>45415</v>
      </c>
      <c r="H719" s="4" t="s">
        <v>577</v>
      </c>
    </row>
    <row r="720" spans="1:8" hidden="1">
      <c r="A720" s="2" t="s">
        <v>8</v>
      </c>
      <c r="B720" s="2"/>
      <c r="C720" s="2" t="s">
        <v>1057</v>
      </c>
      <c r="D720" s="8">
        <v>45405</v>
      </c>
      <c r="E720" s="8"/>
      <c r="F720" s="8">
        <v>45435</v>
      </c>
      <c r="G720" s="8">
        <v>45420</v>
      </c>
      <c r="H720" s="4" t="s">
        <v>578</v>
      </c>
    </row>
    <row r="721" spans="1:8" hidden="1">
      <c r="A721" s="2" t="s">
        <v>8</v>
      </c>
      <c r="B721" s="2"/>
      <c r="C721" s="2" t="s">
        <v>1057</v>
      </c>
      <c r="D721" s="8">
        <v>45405</v>
      </c>
      <c r="E721" s="8"/>
      <c r="F721" s="8">
        <v>45435</v>
      </c>
      <c r="G721" s="8">
        <v>45420</v>
      </c>
      <c r="H721" s="4" t="s">
        <v>579</v>
      </c>
    </row>
    <row r="722" spans="1:8" hidden="1">
      <c r="A722" s="2" t="s">
        <v>8</v>
      </c>
      <c r="B722" s="2"/>
      <c r="C722" s="2" t="s">
        <v>1057</v>
      </c>
      <c r="D722" s="8">
        <v>45405</v>
      </c>
      <c r="E722" s="8"/>
      <c r="F722" s="8">
        <v>45435</v>
      </c>
      <c r="G722" s="8">
        <v>45420</v>
      </c>
      <c r="H722" s="4" t="s">
        <v>579</v>
      </c>
    </row>
    <row r="723" spans="1:8" hidden="1">
      <c r="A723" s="2" t="s">
        <v>8</v>
      </c>
      <c r="B723" s="2"/>
      <c r="C723" s="2" t="s">
        <v>1057</v>
      </c>
      <c r="D723" s="8">
        <v>45405</v>
      </c>
      <c r="E723" s="8"/>
      <c r="F723" s="8">
        <v>45435</v>
      </c>
      <c r="G723" s="8">
        <v>45420</v>
      </c>
      <c r="H723" s="4" t="s">
        <v>580</v>
      </c>
    </row>
    <row r="724" spans="1:8" hidden="1">
      <c r="A724" s="2" t="s">
        <v>8</v>
      </c>
      <c r="B724" s="2"/>
      <c r="C724" s="2" t="s">
        <v>1057</v>
      </c>
      <c r="D724" s="8">
        <v>45405</v>
      </c>
      <c r="E724" s="8"/>
      <c r="F724" s="8">
        <v>45435</v>
      </c>
      <c r="G724" s="8">
        <v>45420</v>
      </c>
      <c r="H724" s="4" t="s">
        <v>580</v>
      </c>
    </row>
    <row r="725" spans="1:8" hidden="1">
      <c r="A725" s="2" t="s">
        <v>8</v>
      </c>
      <c r="B725" s="2"/>
      <c r="C725" s="2" t="s">
        <v>1057</v>
      </c>
      <c r="D725" s="8">
        <v>45405</v>
      </c>
      <c r="E725" s="8"/>
      <c r="F725" s="8">
        <v>45435</v>
      </c>
      <c r="G725" s="8">
        <v>45420</v>
      </c>
      <c r="H725" s="4" t="s">
        <v>581</v>
      </c>
    </row>
    <row r="726" spans="1:8" hidden="1">
      <c r="A726" s="2" t="s">
        <v>8</v>
      </c>
      <c r="B726" s="2"/>
      <c r="C726" s="2" t="s">
        <v>1057</v>
      </c>
      <c r="D726" s="8">
        <v>45405</v>
      </c>
      <c r="E726" s="8"/>
      <c r="F726" s="8">
        <v>45435</v>
      </c>
      <c r="G726" s="8">
        <v>45420</v>
      </c>
      <c r="H726" s="4" t="s">
        <v>581</v>
      </c>
    </row>
    <row r="727" spans="1:8" hidden="1">
      <c r="A727" s="2" t="s">
        <v>8</v>
      </c>
      <c r="B727" s="2"/>
      <c r="C727" s="2" t="s">
        <v>1057</v>
      </c>
      <c r="D727" s="8">
        <v>45405</v>
      </c>
      <c r="E727" s="8"/>
      <c r="F727" s="8">
        <v>45435</v>
      </c>
      <c r="G727" s="8">
        <v>45420</v>
      </c>
      <c r="H727" s="4" t="s">
        <v>578</v>
      </c>
    </row>
    <row r="728" spans="1:8" hidden="1">
      <c r="A728" s="2" t="s">
        <v>5</v>
      </c>
      <c r="B728" s="2"/>
      <c r="C728" s="2" t="s">
        <v>301</v>
      </c>
      <c r="D728" s="8">
        <v>45400</v>
      </c>
      <c r="E728" s="8"/>
      <c r="F728" s="8">
        <v>45461</v>
      </c>
      <c r="G728" s="8">
        <v>45415</v>
      </c>
      <c r="H728" s="4" t="s">
        <v>582</v>
      </c>
    </row>
    <row r="729" spans="1:8" hidden="1">
      <c r="A729" s="2" t="s">
        <v>8</v>
      </c>
      <c r="B729" s="2"/>
      <c r="C729" s="2" t="s">
        <v>1058</v>
      </c>
      <c r="D729" s="8">
        <v>45412</v>
      </c>
      <c r="E729" s="8"/>
      <c r="F729" s="8">
        <v>45444</v>
      </c>
      <c r="G729" s="8">
        <v>45427</v>
      </c>
      <c r="H729" s="4" t="s">
        <v>583</v>
      </c>
    </row>
    <row r="730" spans="1:8" hidden="1">
      <c r="A730" s="2" t="s">
        <v>8</v>
      </c>
      <c r="B730" s="2"/>
      <c r="C730" s="2" t="s">
        <v>1058</v>
      </c>
      <c r="D730" s="8">
        <v>45412</v>
      </c>
      <c r="E730" s="8"/>
      <c r="F730" s="8">
        <v>45444</v>
      </c>
      <c r="G730" s="8">
        <v>45427</v>
      </c>
      <c r="H730" s="4" t="s">
        <v>584</v>
      </c>
    </row>
    <row r="731" spans="1:8" hidden="1">
      <c r="A731" s="2" t="s">
        <v>6</v>
      </c>
      <c r="B731" s="2"/>
      <c r="C731" s="2" t="s">
        <v>1043</v>
      </c>
      <c r="D731" s="8">
        <v>45412</v>
      </c>
      <c r="E731" s="8"/>
      <c r="F731" s="8">
        <v>45439</v>
      </c>
      <c r="G731" s="8">
        <v>45427</v>
      </c>
      <c r="H731" s="4" t="s">
        <v>244</v>
      </c>
    </row>
    <row r="732" spans="1:8" hidden="1">
      <c r="A732" s="2" t="s">
        <v>6</v>
      </c>
      <c r="B732" s="2"/>
      <c r="C732" s="2" t="s">
        <v>1043</v>
      </c>
      <c r="D732" s="8">
        <v>45412</v>
      </c>
      <c r="E732" s="8"/>
      <c r="F732" s="8">
        <v>45439</v>
      </c>
      <c r="G732" s="8">
        <v>45427</v>
      </c>
      <c r="H732" s="4" t="s">
        <v>245</v>
      </c>
    </row>
    <row r="733" spans="1:8" hidden="1">
      <c r="A733" s="2" t="s">
        <v>6</v>
      </c>
      <c r="B733" s="2"/>
      <c r="C733" s="2" t="s">
        <v>1043</v>
      </c>
      <c r="D733" s="8">
        <v>45412</v>
      </c>
      <c r="E733" s="8"/>
      <c r="F733" s="8">
        <v>45439</v>
      </c>
      <c r="G733" s="8">
        <v>45427</v>
      </c>
      <c r="H733" s="4" t="s">
        <v>246</v>
      </c>
    </row>
    <row r="734" spans="1:8" hidden="1">
      <c r="A734" s="2" t="s">
        <v>5</v>
      </c>
      <c r="B734" s="2"/>
      <c r="C734" s="2" t="s">
        <v>301</v>
      </c>
      <c r="D734" s="8">
        <v>45442</v>
      </c>
      <c r="E734" s="8"/>
      <c r="F734" s="8">
        <v>45429</v>
      </c>
      <c r="G734" s="8">
        <v>45457</v>
      </c>
      <c r="H734" s="4" t="s">
        <v>585</v>
      </c>
    </row>
    <row r="735" spans="1:8" hidden="1">
      <c r="A735" s="2" t="s">
        <v>5</v>
      </c>
      <c r="B735" s="2"/>
      <c r="C735" s="2" t="s">
        <v>301</v>
      </c>
      <c r="D735" s="8">
        <v>45442</v>
      </c>
      <c r="E735" s="8"/>
      <c r="F735" s="8">
        <v>45429</v>
      </c>
      <c r="G735" s="8">
        <v>45457</v>
      </c>
      <c r="H735" s="4" t="s">
        <v>586</v>
      </c>
    </row>
    <row r="736" spans="1:8" hidden="1">
      <c r="A736" s="2" t="s">
        <v>5</v>
      </c>
      <c r="B736" s="2"/>
      <c r="C736" s="2" t="s">
        <v>301</v>
      </c>
      <c r="D736" s="8">
        <v>45442</v>
      </c>
      <c r="E736" s="8"/>
      <c r="F736" s="8">
        <v>45429</v>
      </c>
      <c r="G736" s="8">
        <v>45457</v>
      </c>
      <c r="H736" s="4" t="s">
        <v>587</v>
      </c>
    </row>
    <row r="737" spans="1:8" hidden="1">
      <c r="A737" s="2" t="s">
        <v>5</v>
      </c>
      <c r="B737" s="2"/>
      <c r="C737" s="2" t="s">
        <v>301</v>
      </c>
      <c r="D737" s="8">
        <v>45436</v>
      </c>
      <c r="E737" s="8"/>
      <c r="F737" s="8">
        <v>45468</v>
      </c>
      <c r="G737" s="8">
        <v>45451</v>
      </c>
      <c r="H737" s="4" t="s">
        <v>588</v>
      </c>
    </row>
    <row r="738" spans="1:8" hidden="1">
      <c r="A738" s="2" t="s">
        <v>5</v>
      </c>
      <c r="B738" s="2"/>
      <c r="C738" s="2" t="s">
        <v>301</v>
      </c>
      <c r="D738" s="8">
        <v>45436</v>
      </c>
      <c r="E738" s="8"/>
      <c r="F738" s="8">
        <v>45468</v>
      </c>
      <c r="G738" s="8">
        <v>45451</v>
      </c>
      <c r="H738" s="14" t="s">
        <v>589</v>
      </c>
    </row>
    <row r="739" spans="1:8" hidden="1">
      <c r="A739" s="2" t="s">
        <v>5</v>
      </c>
      <c r="B739" s="2"/>
      <c r="C739" s="2" t="s">
        <v>301</v>
      </c>
      <c r="D739" s="8">
        <v>45436</v>
      </c>
      <c r="E739" s="8"/>
      <c r="F739" s="8">
        <v>45468</v>
      </c>
      <c r="G739" s="8">
        <v>45451</v>
      </c>
      <c r="H739" s="4" t="s">
        <v>590</v>
      </c>
    </row>
    <row r="740" spans="1:8" hidden="1">
      <c r="A740" s="2" t="s">
        <v>8</v>
      </c>
      <c r="B740" s="2"/>
      <c r="C740" s="2" t="s">
        <v>1058</v>
      </c>
      <c r="D740" s="8">
        <v>45427</v>
      </c>
      <c r="E740" s="8"/>
      <c r="F740" s="8">
        <v>45519</v>
      </c>
      <c r="G740" s="8">
        <v>45442</v>
      </c>
      <c r="H740" s="4" t="s">
        <v>591</v>
      </c>
    </row>
    <row r="741" spans="1:8" hidden="1">
      <c r="A741" s="2" t="s">
        <v>8</v>
      </c>
      <c r="B741" s="2"/>
      <c r="C741" s="2" t="s">
        <v>1058</v>
      </c>
      <c r="D741" s="8">
        <v>45427</v>
      </c>
      <c r="E741" s="8"/>
      <c r="F741" s="8">
        <v>45519</v>
      </c>
      <c r="G741" s="8">
        <v>45442</v>
      </c>
      <c r="H741" s="4" t="s">
        <v>591</v>
      </c>
    </row>
    <row r="742" spans="1:8" hidden="1">
      <c r="A742" s="2" t="s">
        <v>8</v>
      </c>
      <c r="B742" s="2"/>
      <c r="C742" s="2" t="s">
        <v>1058</v>
      </c>
      <c r="D742" s="8">
        <v>45427</v>
      </c>
      <c r="E742" s="8"/>
      <c r="F742" s="8">
        <v>45519</v>
      </c>
      <c r="G742" s="8">
        <v>45442</v>
      </c>
      <c r="H742" s="4" t="s">
        <v>592</v>
      </c>
    </row>
    <row r="743" spans="1:8" hidden="1">
      <c r="A743" s="2" t="s">
        <v>8</v>
      </c>
      <c r="B743" s="2"/>
      <c r="C743" s="2" t="s">
        <v>1058</v>
      </c>
      <c r="D743" s="8">
        <v>45427</v>
      </c>
      <c r="E743" s="8"/>
      <c r="F743" s="8">
        <v>45519</v>
      </c>
      <c r="G743" s="8">
        <v>45442</v>
      </c>
      <c r="H743" s="4" t="s">
        <v>592</v>
      </c>
    </row>
    <row r="744" spans="1:8" hidden="1">
      <c r="A744" s="2" t="s">
        <v>8</v>
      </c>
      <c r="B744" s="2"/>
      <c r="C744" s="2" t="s">
        <v>1059</v>
      </c>
      <c r="D744" s="8">
        <v>45434</v>
      </c>
      <c r="E744" s="8"/>
      <c r="F744" s="8">
        <v>45519</v>
      </c>
      <c r="G744" s="8">
        <v>45449</v>
      </c>
      <c r="H744" s="4" t="s">
        <v>593</v>
      </c>
    </row>
    <row r="745" spans="1:8" hidden="1">
      <c r="A745" s="2" t="s">
        <v>8</v>
      </c>
      <c r="B745" s="2"/>
      <c r="C745" s="2" t="s">
        <v>1059</v>
      </c>
      <c r="D745" s="8">
        <v>45434</v>
      </c>
      <c r="E745" s="8"/>
      <c r="F745" s="8">
        <v>45519</v>
      </c>
      <c r="G745" s="8">
        <v>45449</v>
      </c>
      <c r="H745" s="4" t="s">
        <v>594</v>
      </c>
    </row>
    <row r="746" spans="1:8" hidden="1">
      <c r="A746" s="2" t="s">
        <v>8</v>
      </c>
      <c r="B746" s="2"/>
      <c r="C746" s="2" t="s">
        <v>1059</v>
      </c>
      <c r="D746" s="8">
        <v>45434</v>
      </c>
      <c r="E746" s="8"/>
      <c r="F746" s="8">
        <v>45528</v>
      </c>
      <c r="G746" s="8">
        <v>45449</v>
      </c>
      <c r="H746" s="4" t="s">
        <v>595</v>
      </c>
    </row>
    <row r="747" spans="1:8" hidden="1">
      <c r="A747" s="2" t="s">
        <v>8</v>
      </c>
      <c r="B747" s="2"/>
      <c r="C747" s="2" t="s">
        <v>1059</v>
      </c>
      <c r="D747" s="8">
        <v>45434</v>
      </c>
      <c r="E747" s="8"/>
      <c r="F747" s="8">
        <v>45528</v>
      </c>
      <c r="G747" s="8">
        <v>45449</v>
      </c>
      <c r="H747" s="4" t="s">
        <v>596</v>
      </c>
    </row>
    <row r="748" spans="1:8" hidden="1">
      <c r="A748" s="2" t="s">
        <v>8</v>
      </c>
      <c r="B748" s="2"/>
      <c r="C748" s="2" t="s">
        <v>1059</v>
      </c>
      <c r="D748" s="8">
        <v>45434</v>
      </c>
      <c r="E748" s="8"/>
      <c r="F748" s="8">
        <v>45528</v>
      </c>
      <c r="G748" s="8">
        <v>45449</v>
      </c>
      <c r="H748" s="4" t="s">
        <v>597</v>
      </c>
    </row>
    <row r="749" spans="1:8" hidden="1">
      <c r="A749" s="2" t="s">
        <v>8</v>
      </c>
      <c r="B749" s="2"/>
      <c r="C749" s="2" t="s">
        <v>1060</v>
      </c>
      <c r="D749" s="8">
        <v>45436</v>
      </c>
      <c r="E749" s="8"/>
      <c r="F749" s="8">
        <v>45519</v>
      </c>
      <c r="G749" s="8">
        <v>45451</v>
      </c>
      <c r="H749" s="4" t="s">
        <v>598</v>
      </c>
    </row>
    <row r="750" spans="1:8" hidden="1">
      <c r="A750" s="2" t="s">
        <v>8</v>
      </c>
      <c r="B750" s="2"/>
      <c r="C750" s="2" t="s">
        <v>1060</v>
      </c>
      <c r="D750" s="8">
        <v>45436</v>
      </c>
      <c r="E750" s="8"/>
      <c r="F750" s="8">
        <v>45519</v>
      </c>
      <c r="G750" s="8">
        <v>45451</v>
      </c>
      <c r="H750" s="4" t="s">
        <v>599</v>
      </c>
    </row>
    <row r="751" spans="1:8" hidden="1">
      <c r="A751" s="2" t="s">
        <v>8</v>
      </c>
      <c r="B751" s="2"/>
      <c r="C751" s="2" t="s">
        <v>1060</v>
      </c>
      <c r="D751" s="8">
        <v>45439</v>
      </c>
      <c r="E751" s="8"/>
      <c r="F751" s="8">
        <v>45519</v>
      </c>
      <c r="G751" s="8">
        <v>45454</v>
      </c>
      <c r="H751" s="4" t="s">
        <v>600</v>
      </c>
    </row>
    <row r="752" spans="1:8" hidden="1">
      <c r="A752" s="2" t="s">
        <v>8</v>
      </c>
      <c r="B752" s="2"/>
      <c r="C752" s="2" t="s">
        <v>1060</v>
      </c>
      <c r="D752" s="8">
        <v>45439</v>
      </c>
      <c r="E752" s="8"/>
      <c r="F752" s="8">
        <v>45519</v>
      </c>
      <c r="G752" s="8">
        <v>45454</v>
      </c>
      <c r="H752" s="4" t="s">
        <v>601</v>
      </c>
    </row>
    <row r="753" spans="1:8" hidden="1">
      <c r="A753" s="2" t="s">
        <v>8</v>
      </c>
      <c r="B753" s="2"/>
      <c r="C753" s="2" t="s">
        <v>1060</v>
      </c>
      <c r="D753" s="8">
        <v>45439</v>
      </c>
      <c r="E753" s="8"/>
      <c r="F753" s="8">
        <v>45519</v>
      </c>
      <c r="G753" s="8">
        <v>45454</v>
      </c>
      <c r="H753" s="4" t="s">
        <v>600</v>
      </c>
    </row>
    <row r="754" spans="1:8" hidden="1">
      <c r="A754" s="2" t="s">
        <v>8</v>
      </c>
      <c r="B754" s="2"/>
      <c r="C754" s="2" t="s">
        <v>1060</v>
      </c>
      <c r="D754" s="8">
        <v>45439</v>
      </c>
      <c r="E754" s="8"/>
      <c r="F754" s="8">
        <v>45519</v>
      </c>
      <c r="G754" s="8">
        <v>45454</v>
      </c>
      <c r="H754" s="4" t="s">
        <v>602</v>
      </c>
    </row>
    <row r="755" spans="1:8" hidden="1">
      <c r="A755" s="2" t="s">
        <v>8</v>
      </c>
      <c r="B755" s="2"/>
      <c r="C755" s="2" t="s">
        <v>1060</v>
      </c>
      <c r="D755" s="8">
        <v>45439</v>
      </c>
      <c r="E755" s="8"/>
      <c r="F755" s="8">
        <v>45519</v>
      </c>
      <c r="G755" s="8">
        <v>45454</v>
      </c>
      <c r="H755" s="4" t="s">
        <v>602</v>
      </c>
    </row>
    <row r="756" spans="1:8" hidden="1">
      <c r="A756" s="2" t="s">
        <v>8</v>
      </c>
      <c r="B756" s="2"/>
      <c r="C756" s="2" t="s">
        <v>1060</v>
      </c>
      <c r="D756" s="8">
        <v>45439</v>
      </c>
      <c r="E756" s="8"/>
      <c r="F756" s="8">
        <v>45519</v>
      </c>
      <c r="G756" s="8">
        <v>45454</v>
      </c>
      <c r="H756" s="4" t="s">
        <v>603</v>
      </c>
    </row>
    <row r="757" spans="1:8" hidden="1">
      <c r="A757" s="2" t="s">
        <v>8</v>
      </c>
      <c r="B757" s="2"/>
      <c r="C757" s="2" t="s">
        <v>1059</v>
      </c>
      <c r="D757" s="8">
        <v>45440</v>
      </c>
      <c r="E757" s="8"/>
      <c r="F757" s="8">
        <v>45448</v>
      </c>
      <c r="G757" s="8">
        <v>45455</v>
      </c>
      <c r="H757" s="4" t="s">
        <v>604</v>
      </c>
    </row>
    <row r="758" spans="1:8" hidden="1">
      <c r="A758" s="2" t="s">
        <v>8</v>
      </c>
      <c r="B758" s="2"/>
      <c r="C758" s="2" t="s">
        <v>1059</v>
      </c>
      <c r="D758" s="8">
        <v>45440</v>
      </c>
      <c r="E758" s="8"/>
      <c r="F758" s="8">
        <v>45448</v>
      </c>
      <c r="G758" s="8">
        <v>45455</v>
      </c>
      <c r="H758" s="4" t="s">
        <v>605</v>
      </c>
    </row>
    <row r="759" spans="1:8" hidden="1">
      <c r="A759" s="2" t="s">
        <v>8</v>
      </c>
      <c r="B759" s="2"/>
      <c r="C759" s="2" t="s">
        <v>1059</v>
      </c>
      <c r="D759" s="8">
        <v>45440</v>
      </c>
      <c r="E759" s="8"/>
      <c r="F759" s="8">
        <v>45448</v>
      </c>
      <c r="G759" s="8">
        <v>45455</v>
      </c>
      <c r="H759" s="4" t="s">
        <v>606</v>
      </c>
    </row>
    <row r="760" spans="1:8" hidden="1">
      <c r="A760" s="2" t="s">
        <v>8</v>
      </c>
      <c r="B760" s="2"/>
      <c r="C760" s="2" t="s">
        <v>1059</v>
      </c>
      <c r="D760" s="8">
        <v>45440</v>
      </c>
      <c r="E760" s="8"/>
      <c r="F760" s="8">
        <v>45448</v>
      </c>
      <c r="G760" s="8">
        <v>45455</v>
      </c>
      <c r="H760" s="4" t="s">
        <v>607</v>
      </c>
    </row>
    <row r="761" spans="1:8" hidden="1">
      <c r="A761" s="2" t="s">
        <v>8</v>
      </c>
      <c r="B761" s="2"/>
      <c r="C761" s="2" t="s">
        <v>1059</v>
      </c>
      <c r="D761" s="8">
        <v>45440</v>
      </c>
      <c r="E761" s="8"/>
      <c r="F761" s="8">
        <v>45448</v>
      </c>
      <c r="G761" s="8">
        <v>45455</v>
      </c>
      <c r="H761" s="4" t="s">
        <v>608</v>
      </c>
    </row>
    <row r="762" spans="1:8" hidden="1">
      <c r="A762" s="2" t="s">
        <v>8</v>
      </c>
      <c r="B762" s="2"/>
      <c r="C762" s="2" t="s">
        <v>1059</v>
      </c>
      <c r="D762" s="8">
        <v>45440</v>
      </c>
      <c r="E762" s="8"/>
      <c r="F762" s="8">
        <v>45448</v>
      </c>
      <c r="G762" s="8">
        <v>45455</v>
      </c>
      <c r="H762" s="4" t="s">
        <v>609</v>
      </c>
    </row>
    <row r="763" spans="1:8" hidden="1">
      <c r="A763" s="2" t="s">
        <v>5</v>
      </c>
      <c r="B763" s="2"/>
      <c r="C763" s="2" t="s">
        <v>1061</v>
      </c>
      <c r="D763" s="8">
        <v>45441</v>
      </c>
      <c r="E763" s="8"/>
      <c r="F763" s="8">
        <v>45458</v>
      </c>
      <c r="G763" s="8">
        <v>45456</v>
      </c>
      <c r="H763" s="4" t="s">
        <v>610</v>
      </c>
    </row>
    <row r="764" spans="1:8" hidden="1">
      <c r="A764" s="2" t="s">
        <v>5</v>
      </c>
      <c r="B764" s="2"/>
      <c r="C764" s="2" t="s">
        <v>1061</v>
      </c>
      <c r="D764" s="8">
        <v>45447</v>
      </c>
      <c r="E764" s="8"/>
      <c r="F764" s="8">
        <v>45497</v>
      </c>
      <c r="G764" s="8">
        <v>45462</v>
      </c>
      <c r="H764" s="4" t="s">
        <v>611</v>
      </c>
    </row>
    <row r="765" spans="1:8" hidden="1">
      <c r="A765" s="2" t="s">
        <v>8</v>
      </c>
      <c r="B765" s="2"/>
      <c r="C765" s="2" t="s">
        <v>1058</v>
      </c>
      <c r="D765" s="8">
        <v>45439</v>
      </c>
      <c r="E765" s="8"/>
      <c r="F765" s="8">
        <v>45519</v>
      </c>
      <c r="G765" s="8">
        <v>45454</v>
      </c>
      <c r="H765" s="4" t="s">
        <v>612</v>
      </c>
    </row>
    <row r="766" spans="1:8" hidden="1">
      <c r="A766" s="2" t="s">
        <v>8</v>
      </c>
      <c r="B766" s="2"/>
      <c r="C766" s="2" t="s">
        <v>1058</v>
      </c>
      <c r="D766" s="8">
        <v>45439</v>
      </c>
      <c r="E766" s="8"/>
      <c r="F766" s="8">
        <v>45519</v>
      </c>
      <c r="G766" s="8">
        <v>45454</v>
      </c>
      <c r="H766" s="4" t="s">
        <v>612</v>
      </c>
    </row>
    <row r="767" spans="1:8" hidden="1">
      <c r="A767" s="2" t="s">
        <v>8</v>
      </c>
      <c r="B767" s="2"/>
      <c r="C767" s="2" t="s">
        <v>1058</v>
      </c>
      <c r="D767" s="8">
        <v>45439</v>
      </c>
      <c r="E767" s="8"/>
      <c r="F767" s="8">
        <v>45519</v>
      </c>
      <c r="G767" s="8">
        <v>45454</v>
      </c>
      <c r="H767" s="4" t="s">
        <v>613</v>
      </c>
    </row>
    <row r="768" spans="1:8" hidden="1">
      <c r="A768" s="2" t="s">
        <v>8</v>
      </c>
      <c r="B768" s="2"/>
      <c r="C768" s="2" t="s">
        <v>1058</v>
      </c>
      <c r="D768" s="8">
        <v>45439</v>
      </c>
      <c r="E768" s="8"/>
      <c r="F768" s="8">
        <v>45519</v>
      </c>
      <c r="G768" s="8">
        <v>45454</v>
      </c>
      <c r="H768" s="4" t="s">
        <v>612</v>
      </c>
    </row>
    <row r="769" spans="1:8" hidden="1">
      <c r="A769" s="2" t="s">
        <v>6</v>
      </c>
      <c r="B769" s="2"/>
      <c r="C769" s="2" t="s">
        <v>1043</v>
      </c>
      <c r="D769" s="8">
        <v>45440</v>
      </c>
      <c r="E769" s="8"/>
      <c r="F769" s="8">
        <v>45502</v>
      </c>
      <c r="G769" s="8">
        <v>45455</v>
      </c>
      <c r="H769" s="4" t="s">
        <v>614</v>
      </c>
    </row>
    <row r="770" spans="1:8" hidden="1">
      <c r="A770" s="2" t="s">
        <v>6</v>
      </c>
      <c r="B770" s="2"/>
      <c r="C770" s="2" t="s">
        <v>1043</v>
      </c>
      <c r="D770" s="8">
        <v>45440</v>
      </c>
      <c r="E770" s="8"/>
      <c r="F770" s="8">
        <v>45502</v>
      </c>
      <c r="G770" s="8">
        <v>45455</v>
      </c>
      <c r="H770" s="4" t="s">
        <v>615</v>
      </c>
    </row>
    <row r="771" spans="1:8" hidden="1">
      <c r="A771" s="2" t="s">
        <v>8</v>
      </c>
      <c r="B771" s="2"/>
      <c r="C771" s="2" t="s">
        <v>1062</v>
      </c>
      <c r="D771" s="8">
        <v>45448</v>
      </c>
      <c r="E771" s="8"/>
      <c r="F771" s="8">
        <v>45519</v>
      </c>
      <c r="G771" s="8">
        <v>45463</v>
      </c>
      <c r="H771" s="4" t="s">
        <v>616</v>
      </c>
    </row>
    <row r="772" spans="1:8" hidden="1">
      <c r="A772" s="2" t="s">
        <v>8</v>
      </c>
      <c r="B772" s="2"/>
      <c r="C772" s="2" t="s">
        <v>1062</v>
      </c>
      <c r="D772" s="8">
        <v>45448</v>
      </c>
      <c r="E772" s="8"/>
      <c r="F772" s="8">
        <v>45519</v>
      </c>
      <c r="G772" s="8">
        <v>45463</v>
      </c>
      <c r="H772" s="4" t="s">
        <v>617</v>
      </c>
    </row>
    <row r="773" spans="1:8" hidden="1">
      <c r="A773" s="2" t="s">
        <v>8</v>
      </c>
      <c r="B773" s="2"/>
      <c r="C773" s="2" t="s">
        <v>1062</v>
      </c>
      <c r="D773" s="8">
        <v>45448</v>
      </c>
      <c r="E773" s="8"/>
      <c r="F773" s="8">
        <v>45519</v>
      </c>
      <c r="G773" s="8">
        <v>45463</v>
      </c>
      <c r="H773" s="4" t="s">
        <v>618</v>
      </c>
    </row>
    <row r="774" spans="1:8" hidden="1">
      <c r="A774" s="2" t="s">
        <v>8</v>
      </c>
      <c r="B774" s="2"/>
      <c r="C774" s="2" t="s">
        <v>1060</v>
      </c>
      <c r="D774" s="8">
        <v>45453</v>
      </c>
      <c r="E774" s="8"/>
      <c r="F774" s="8">
        <v>45505</v>
      </c>
      <c r="G774" s="8">
        <v>45468</v>
      </c>
      <c r="H774" s="4" t="s">
        <v>619</v>
      </c>
    </row>
    <row r="775" spans="1:8" hidden="1">
      <c r="A775" s="2" t="s">
        <v>5</v>
      </c>
      <c r="B775" s="2"/>
      <c r="C775" s="2" t="s">
        <v>301</v>
      </c>
      <c r="D775" s="8">
        <v>45468</v>
      </c>
      <c r="E775" s="8"/>
      <c r="F775" s="8">
        <v>45498</v>
      </c>
      <c r="G775" s="8">
        <v>45483</v>
      </c>
      <c r="H775" s="4" t="s">
        <v>620</v>
      </c>
    </row>
    <row r="776" spans="1:8" hidden="1">
      <c r="A776" s="2" t="s">
        <v>5</v>
      </c>
      <c r="B776" s="2"/>
      <c r="C776" s="2" t="s">
        <v>301</v>
      </c>
      <c r="D776" s="8">
        <v>45468</v>
      </c>
      <c r="E776" s="8"/>
      <c r="F776" s="8">
        <v>45498</v>
      </c>
      <c r="G776" s="8">
        <v>45483</v>
      </c>
      <c r="H776" s="4" t="s">
        <v>621</v>
      </c>
    </row>
    <row r="777" spans="1:8" hidden="1">
      <c r="A777" s="2" t="s">
        <v>5</v>
      </c>
      <c r="B777" s="2"/>
      <c r="C777" s="2" t="s">
        <v>301</v>
      </c>
      <c r="D777" s="8">
        <v>45468</v>
      </c>
      <c r="E777" s="8"/>
      <c r="F777" s="8">
        <v>45498</v>
      </c>
      <c r="G777" s="8">
        <v>45483</v>
      </c>
      <c r="H777" s="4" t="s">
        <v>622</v>
      </c>
    </row>
    <row r="778" spans="1:8" hidden="1">
      <c r="A778" s="2" t="s">
        <v>5</v>
      </c>
      <c r="B778" s="2"/>
      <c r="C778" s="2" t="s">
        <v>301</v>
      </c>
      <c r="D778" s="8">
        <v>45468</v>
      </c>
      <c r="E778" s="8"/>
      <c r="F778" s="8">
        <v>45498</v>
      </c>
      <c r="G778" s="8">
        <v>45483</v>
      </c>
      <c r="H778" s="4" t="s">
        <v>623</v>
      </c>
    </row>
    <row r="779" spans="1:8" hidden="1">
      <c r="A779" s="2" t="s">
        <v>8</v>
      </c>
      <c r="B779" s="2"/>
      <c r="C779" s="2" t="s">
        <v>1060</v>
      </c>
      <c r="D779" s="8">
        <v>45453</v>
      </c>
      <c r="E779" s="8"/>
      <c r="F779" s="8">
        <v>45505</v>
      </c>
      <c r="G779" s="8">
        <v>45468</v>
      </c>
      <c r="H779" s="4" t="s">
        <v>624</v>
      </c>
    </row>
    <row r="780" spans="1:8" hidden="1">
      <c r="A780" s="2" t="s">
        <v>8</v>
      </c>
      <c r="B780" s="2"/>
      <c r="C780" s="2" t="s">
        <v>1060</v>
      </c>
      <c r="D780" s="8">
        <v>45456</v>
      </c>
      <c r="E780" s="8"/>
      <c r="F780" s="8">
        <v>45519</v>
      </c>
      <c r="G780" s="8">
        <v>45471</v>
      </c>
      <c r="H780" s="4" t="s">
        <v>625</v>
      </c>
    </row>
    <row r="781" spans="1:8" hidden="1">
      <c r="A781" s="2" t="s">
        <v>8</v>
      </c>
      <c r="B781" s="2"/>
      <c r="C781" s="2" t="s">
        <v>1060</v>
      </c>
      <c r="D781" s="8">
        <v>45456</v>
      </c>
      <c r="E781" s="8"/>
      <c r="F781" s="8">
        <v>45519</v>
      </c>
      <c r="G781" s="8">
        <v>45471</v>
      </c>
      <c r="H781" s="4" t="s">
        <v>625</v>
      </c>
    </row>
    <row r="782" spans="1:8" hidden="1">
      <c r="A782" s="2" t="s">
        <v>8</v>
      </c>
      <c r="B782" s="2"/>
      <c r="C782" s="2" t="s">
        <v>1060</v>
      </c>
      <c r="D782" s="8">
        <v>45456</v>
      </c>
      <c r="E782" s="8"/>
      <c r="F782" s="8">
        <v>45519</v>
      </c>
      <c r="G782" s="8">
        <v>45471</v>
      </c>
      <c r="H782" s="4" t="s">
        <v>626</v>
      </c>
    </row>
    <row r="783" spans="1:8" hidden="1">
      <c r="A783" s="2" t="s">
        <v>8</v>
      </c>
      <c r="B783" s="2"/>
      <c r="C783" s="2" t="s">
        <v>1060</v>
      </c>
      <c r="D783" s="8">
        <v>45456</v>
      </c>
      <c r="E783" s="8"/>
      <c r="F783" s="8">
        <v>45519</v>
      </c>
      <c r="G783" s="8">
        <v>45471</v>
      </c>
      <c r="H783" s="4" t="s">
        <v>625</v>
      </c>
    </row>
    <row r="784" spans="1:8" hidden="1">
      <c r="A784" s="2" t="s">
        <v>6</v>
      </c>
      <c r="B784" s="2"/>
      <c r="C784" s="2" t="s">
        <v>1063</v>
      </c>
      <c r="D784" s="8">
        <v>45456</v>
      </c>
      <c r="E784" s="8"/>
      <c r="F784" s="8">
        <v>45473</v>
      </c>
      <c r="G784" s="8">
        <v>45471</v>
      </c>
      <c r="H784" s="14" t="s">
        <v>627</v>
      </c>
    </row>
    <row r="785" spans="1:8" hidden="1">
      <c r="A785" s="2" t="s">
        <v>8</v>
      </c>
      <c r="B785" s="2"/>
      <c r="C785" s="2" t="s">
        <v>1054</v>
      </c>
      <c r="D785" s="8">
        <v>45457</v>
      </c>
      <c r="E785" s="8"/>
      <c r="F785" s="8">
        <v>45519</v>
      </c>
      <c r="G785" s="8">
        <v>45472</v>
      </c>
      <c r="H785" s="4" t="s">
        <v>628</v>
      </c>
    </row>
    <row r="786" spans="1:8" hidden="1">
      <c r="A786" s="2" t="s">
        <v>8</v>
      </c>
      <c r="B786" s="2"/>
      <c r="C786" s="2" t="s">
        <v>1054</v>
      </c>
      <c r="D786" s="8">
        <v>45457</v>
      </c>
      <c r="E786" s="8"/>
      <c r="F786" s="8">
        <v>45519</v>
      </c>
      <c r="G786" s="8">
        <v>45472</v>
      </c>
      <c r="H786" s="4" t="s">
        <v>628</v>
      </c>
    </row>
    <row r="787" spans="1:8" hidden="1">
      <c r="A787" s="2" t="s">
        <v>8</v>
      </c>
      <c r="B787" s="2"/>
      <c r="C787" s="2" t="s">
        <v>1054</v>
      </c>
      <c r="D787" s="8">
        <v>45457</v>
      </c>
      <c r="E787" s="8"/>
      <c r="F787" s="8">
        <v>45519</v>
      </c>
      <c r="G787" s="8">
        <v>45472</v>
      </c>
      <c r="H787" s="4" t="s">
        <v>628</v>
      </c>
    </row>
    <row r="788" spans="1:8" hidden="1">
      <c r="A788" s="2" t="s">
        <v>8</v>
      </c>
      <c r="B788" s="2"/>
      <c r="C788" s="2" t="s">
        <v>1054</v>
      </c>
      <c r="D788" s="8">
        <v>45457</v>
      </c>
      <c r="E788" s="8"/>
      <c r="F788" s="8">
        <v>45519</v>
      </c>
      <c r="G788" s="8">
        <v>45472</v>
      </c>
      <c r="H788" s="4" t="s">
        <v>629</v>
      </c>
    </row>
    <row r="789" spans="1:8" hidden="1">
      <c r="A789" s="2" t="s">
        <v>8</v>
      </c>
      <c r="B789" s="2"/>
      <c r="C789" s="2" t="s">
        <v>1054</v>
      </c>
      <c r="D789" s="8">
        <v>45457</v>
      </c>
      <c r="E789" s="8"/>
      <c r="F789" s="8">
        <v>45519</v>
      </c>
      <c r="G789" s="8">
        <v>45472</v>
      </c>
      <c r="H789" s="4" t="s">
        <v>630</v>
      </c>
    </row>
    <row r="790" spans="1:8" hidden="1">
      <c r="A790" s="2" t="s">
        <v>8</v>
      </c>
      <c r="B790" s="2"/>
      <c r="C790" s="2" t="s">
        <v>1054</v>
      </c>
      <c r="D790" s="8">
        <v>45457</v>
      </c>
      <c r="E790" s="8"/>
      <c r="F790" s="8">
        <v>45519</v>
      </c>
      <c r="G790" s="8">
        <v>45472</v>
      </c>
      <c r="H790" s="4" t="s">
        <v>630</v>
      </c>
    </row>
    <row r="791" spans="1:8" hidden="1">
      <c r="A791" s="2" t="s">
        <v>8</v>
      </c>
      <c r="B791" s="2"/>
      <c r="C791" s="2" t="s">
        <v>1054</v>
      </c>
      <c r="D791" s="8">
        <v>45457</v>
      </c>
      <c r="E791" s="8"/>
      <c r="F791" s="8">
        <v>45519</v>
      </c>
      <c r="G791" s="8">
        <v>45472</v>
      </c>
      <c r="H791" s="4" t="s">
        <v>630</v>
      </c>
    </row>
    <row r="792" spans="1:8" hidden="1">
      <c r="A792" s="2" t="s">
        <v>8</v>
      </c>
      <c r="B792" s="2"/>
      <c r="C792" s="2" t="s">
        <v>1054</v>
      </c>
      <c r="D792" s="8">
        <v>45457</v>
      </c>
      <c r="E792" s="8"/>
      <c r="F792" s="8">
        <v>45519</v>
      </c>
      <c r="G792" s="8">
        <v>45472</v>
      </c>
      <c r="H792" s="4" t="s">
        <v>631</v>
      </c>
    </row>
    <row r="793" spans="1:8" hidden="1">
      <c r="A793" s="2" t="s">
        <v>8</v>
      </c>
      <c r="B793" s="2"/>
      <c r="C793" s="2" t="s">
        <v>1054</v>
      </c>
      <c r="D793" s="8">
        <v>45457</v>
      </c>
      <c r="E793" s="8"/>
      <c r="F793" s="8">
        <v>45519</v>
      </c>
      <c r="G793" s="8">
        <v>45472</v>
      </c>
      <c r="H793" s="4" t="s">
        <v>630</v>
      </c>
    </row>
    <row r="794" spans="1:8" hidden="1">
      <c r="A794" s="2" t="s">
        <v>8</v>
      </c>
      <c r="B794" s="2"/>
      <c r="C794" s="2" t="s">
        <v>1054</v>
      </c>
      <c r="D794" s="8">
        <v>45457</v>
      </c>
      <c r="E794" s="8"/>
      <c r="F794" s="8">
        <v>45519</v>
      </c>
      <c r="G794" s="8">
        <v>45472</v>
      </c>
      <c r="H794" s="4" t="s">
        <v>632</v>
      </c>
    </row>
    <row r="795" spans="1:8" hidden="1">
      <c r="A795" s="2" t="s">
        <v>8</v>
      </c>
      <c r="B795" s="2"/>
      <c r="C795" s="2" t="s">
        <v>1054</v>
      </c>
      <c r="D795" s="8">
        <v>45457</v>
      </c>
      <c r="E795" s="8"/>
      <c r="F795" s="8">
        <v>45519</v>
      </c>
      <c r="G795" s="8">
        <v>45472</v>
      </c>
      <c r="H795" s="4" t="s">
        <v>633</v>
      </c>
    </row>
    <row r="796" spans="1:8" hidden="1">
      <c r="A796" s="2" t="s">
        <v>8</v>
      </c>
      <c r="B796" s="2"/>
      <c r="C796" s="2" t="s">
        <v>1054</v>
      </c>
      <c r="D796" s="8">
        <v>45457</v>
      </c>
      <c r="E796" s="8"/>
      <c r="F796" s="8">
        <v>45519</v>
      </c>
      <c r="G796" s="8">
        <v>45472</v>
      </c>
      <c r="H796" s="4" t="s">
        <v>634</v>
      </c>
    </row>
    <row r="797" spans="1:8" hidden="1">
      <c r="A797" s="2" t="s">
        <v>8</v>
      </c>
      <c r="B797" s="2"/>
      <c r="C797" s="2" t="s">
        <v>1054</v>
      </c>
      <c r="D797" s="8">
        <v>45457</v>
      </c>
      <c r="E797" s="8"/>
      <c r="F797" s="8">
        <v>45519</v>
      </c>
      <c r="G797" s="8">
        <v>45472</v>
      </c>
      <c r="H797" s="4" t="s">
        <v>635</v>
      </c>
    </row>
    <row r="798" spans="1:8" hidden="1">
      <c r="A798" s="2" t="s">
        <v>8</v>
      </c>
      <c r="B798" s="2"/>
      <c r="C798" s="2" t="s">
        <v>1064</v>
      </c>
      <c r="D798" s="8">
        <v>45458</v>
      </c>
      <c r="E798" s="8"/>
      <c r="F798" s="8">
        <v>45504</v>
      </c>
      <c r="G798" s="8">
        <v>45472</v>
      </c>
      <c r="H798" s="4" t="s">
        <v>636</v>
      </c>
    </row>
    <row r="799" spans="1:8" hidden="1">
      <c r="A799" s="2" t="s">
        <v>8</v>
      </c>
      <c r="B799" s="2"/>
      <c r="C799" s="2" t="s">
        <v>1064</v>
      </c>
      <c r="D799" s="8">
        <v>45458</v>
      </c>
      <c r="E799" s="8"/>
      <c r="F799" s="8">
        <v>45504</v>
      </c>
      <c r="G799" s="8">
        <v>45472</v>
      </c>
      <c r="H799" s="4" t="s">
        <v>637</v>
      </c>
    </row>
    <row r="800" spans="1:8" hidden="1">
      <c r="A800" s="2" t="s">
        <v>8</v>
      </c>
      <c r="B800" s="2"/>
      <c r="C800" s="2" t="s">
        <v>1064</v>
      </c>
      <c r="D800" s="8">
        <v>45458</v>
      </c>
      <c r="E800" s="8"/>
      <c r="F800" s="8">
        <v>45504</v>
      </c>
      <c r="G800" s="8">
        <v>45472</v>
      </c>
      <c r="H800" s="4" t="s">
        <v>638</v>
      </c>
    </row>
    <row r="801" spans="1:8" hidden="1">
      <c r="A801" s="2" t="s">
        <v>8</v>
      </c>
      <c r="B801" s="2"/>
      <c r="C801" s="2" t="s">
        <v>1064</v>
      </c>
      <c r="D801" s="8">
        <v>45458</v>
      </c>
      <c r="E801" s="8"/>
      <c r="F801" s="8">
        <v>45504</v>
      </c>
      <c r="G801" s="8">
        <v>45472</v>
      </c>
      <c r="H801" s="4" t="s">
        <v>639</v>
      </c>
    </row>
    <row r="802" spans="1:8" hidden="1">
      <c r="A802" s="2" t="s">
        <v>8</v>
      </c>
      <c r="B802" s="2"/>
      <c r="C802" s="2" t="s">
        <v>1064</v>
      </c>
      <c r="D802" s="8">
        <v>45458</v>
      </c>
      <c r="E802" s="8"/>
      <c r="F802" s="8">
        <v>45504</v>
      </c>
      <c r="G802" s="8">
        <v>45472</v>
      </c>
      <c r="H802" s="4" t="s">
        <v>640</v>
      </c>
    </row>
    <row r="803" spans="1:8" hidden="1">
      <c r="A803" s="2" t="s">
        <v>8</v>
      </c>
      <c r="B803" s="2"/>
      <c r="C803" s="2" t="s">
        <v>1064</v>
      </c>
      <c r="D803" s="8">
        <v>45458</v>
      </c>
      <c r="E803" s="8"/>
      <c r="F803" s="8">
        <v>45504</v>
      </c>
      <c r="G803" s="8">
        <v>45472</v>
      </c>
      <c r="H803" s="4" t="s">
        <v>640</v>
      </c>
    </row>
    <row r="804" spans="1:8" hidden="1">
      <c r="A804" s="2" t="s">
        <v>8</v>
      </c>
      <c r="B804" s="2"/>
      <c r="C804" s="2" t="s">
        <v>1064</v>
      </c>
      <c r="D804" s="8">
        <v>45458</v>
      </c>
      <c r="E804" s="8"/>
      <c r="F804" s="8">
        <v>45504</v>
      </c>
      <c r="G804" s="8">
        <v>45472</v>
      </c>
      <c r="H804" s="4" t="s">
        <v>640</v>
      </c>
    </row>
    <row r="805" spans="1:8" hidden="1">
      <c r="A805" s="2" t="s">
        <v>8</v>
      </c>
      <c r="B805" s="2"/>
      <c r="C805" s="2" t="s">
        <v>1064</v>
      </c>
      <c r="D805" s="8">
        <v>45458</v>
      </c>
      <c r="E805" s="8"/>
      <c r="F805" s="8">
        <v>45504</v>
      </c>
      <c r="G805" s="8">
        <v>45472</v>
      </c>
      <c r="H805" s="4" t="s">
        <v>641</v>
      </c>
    </row>
    <row r="806" spans="1:8" hidden="1">
      <c r="A806" s="2" t="s">
        <v>8</v>
      </c>
      <c r="B806" s="2"/>
      <c r="C806" s="2" t="s">
        <v>1065</v>
      </c>
      <c r="D806" s="8">
        <v>45460</v>
      </c>
      <c r="E806" s="8"/>
      <c r="F806" s="8">
        <v>45500</v>
      </c>
      <c r="G806" s="8">
        <v>45475</v>
      </c>
      <c r="H806" s="4" t="s">
        <v>642</v>
      </c>
    </row>
    <row r="807" spans="1:8" hidden="1">
      <c r="A807" s="2" t="s">
        <v>8</v>
      </c>
      <c r="B807" s="2"/>
      <c r="C807" s="2" t="s">
        <v>1065</v>
      </c>
      <c r="D807" s="8">
        <v>45460</v>
      </c>
      <c r="E807" s="8"/>
      <c r="F807" s="8">
        <v>45468</v>
      </c>
      <c r="G807" s="8">
        <v>45475</v>
      </c>
      <c r="H807" s="4" t="s">
        <v>643</v>
      </c>
    </row>
    <row r="808" spans="1:8" hidden="1">
      <c r="A808" s="2" t="s">
        <v>5</v>
      </c>
      <c r="B808" s="2"/>
      <c r="C808" s="2" t="s">
        <v>1066</v>
      </c>
      <c r="D808" s="8">
        <v>45462</v>
      </c>
      <c r="E808" s="8"/>
      <c r="F808" s="8">
        <v>45496</v>
      </c>
      <c r="G808" s="8">
        <v>45477</v>
      </c>
      <c r="H808" s="4" t="s">
        <v>644</v>
      </c>
    </row>
    <row r="809" spans="1:8" hidden="1">
      <c r="A809" s="2" t="s">
        <v>5</v>
      </c>
      <c r="B809" s="2"/>
      <c r="C809" s="2" t="s">
        <v>1066</v>
      </c>
      <c r="D809" s="8">
        <v>45462</v>
      </c>
      <c r="E809" s="8"/>
      <c r="F809" s="8">
        <v>45496</v>
      </c>
      <c r="G809" s="8">
        <v>45477</v>
      </c>
      <c r="H809" s="4" t="s">
        <v>645</v>
      </c>
    </row>
    <row r="810" spans="1:8" hidden="1">
      <c r="A810" s="2" t="s">
        <v>5</v>
      </c>
      <c r="B810" s="2"/>
      <c r="C810" s="2" t="s">
        <v>1066</v>
      </c>
      <c r="D810" s="8">
        <v>45462</v>
      </c>
      <c r="E810" s="8"/>
      <c r="F810" s="8">
        <v>45496</v>
      </c>
      <c r="G810" s="8">
        <v>45477</v>
      </c>
      <c r="H810" s="4" t="s">
        <v>646</v>
      </c>
    </row>
    <row r="811" spans="1:8" hidden="1">
      <c r="A811" s="2" t="s">
        <v>6</v>
      </c>
      <c r="B811" s="2"/>
      <c r="C811" s="2" t="s">
        <v>1067</v>
      </c>
      <c r="D811" s="8">
        <v>45467</v>
      </c>
      <c r="E811" s="8"/>
      <c r="F811" s="8">
        <v>45504</v>
      </c>
      <c r="G811" s="8">
        <v>45482</v>
      </c>
      <c r="H811" s="4" t="s">
        <v>647</v>
      </c>
    </row>
    <row r="812" spans="1:8" hidden="1">
      <c r="A812" s="2" t="s">
        <v>6</v>
      </c>
      <c r="B812" s="2"/>
      <c r="C812" s="2" t="s">
        <v>1067</v>
      </c>
      <c r="D812" s="8">
        <v>45467</v>
      </c>
      <c r="E812" s="8"/>
      <c r="F812" s="8">
        <v>45504</v>
      </c>
      <c r="G812" s="8">
        <v>45482</v>
      </c>
      <c r="H812" s="4" t="s">
        <v>648</v>
      </c>
    </row>
    <row r="813" spans="1:8" hidden="1">
      <c r="A813" s="2" t="s">
        <v>6</v>
      </c>
      <c r="B813" s="2"/>
      <c r="C813" s="2" t="s">
        <v>1067</v>
      </c>
      <c r="D813" s="8">
        <v>45467</v>
      </c>
      <c r="E813" s="8"/>
      <c r="F813" s="8">
        <v>45504</v>
      </c>
      <c r="G813" s="8">
        <v>45482</v>
      </c>
      <c r="H813" s="4" t="s">
        <v>648</v>
      </c>
    </row>
    <row r="814" spans="1:8" hidden="1">
      <c r="A814" s="2" t="s">
        <v>6</v>
      </c>
      <c r="B814" s="2"/>
      <c r="C814" s="2" t="s">
        <v>1067</v>
      </c>
      <c r="D814" s="8">
        <v>45467</v>
      </c>
      <c r="E814" s="8"/>
      <c r="F814" s="8">
        <v>45504</v>
      </c>
      <c r="G814" s="8">
        <v>45482</v>
      </c>
      <c r="H814" s="4" t="s">
        <v>649</v>
      </c>
    </row>
    <row r="815" spans="1:8" hidden="1">
      <c r="A815" s="2" t="s">
        <v>6</v>
      </c>
      <c r="B815" s="2"/>
      <c r="C815" s="2" t="s">
        <v>1067</v>
      </c>
      <c r="D815" s="8">
        <v>45467</v>
      </c>
      <c r="E815" s="8"/>
      <c r="F815" s="8">
        <v>45504</v>
      </c>
      <c r="G815" s="8">
        <v>45482</v>
      </c>
      <c r="H815" s="4" t="s">
        <v>650</v>
      </c>
    </row>
    <row r="816" spans="1:8" hidden="1">
      <c r="A816" s="2" t="s">
        <v>6</v>
      </c>
      <c r="B816" s="2"/>
      <c r="C816" s="2" t="s">
        <v>1068</v>
      </c>
      <c r="D816" s="8">
        <v>45467</v>
      </c>
      <c r="E816" s="8"/>
      <c r="F816" s="8">
        <v>45504</v>
      </c>
      <c r="G816" s="8">
        <v>45482</v>
      </c>
      <c r="H816" s="4" t="s">
        <v>651</v>
      </c>
    </row>
    <row r="817" spans="1:8" hidden="1">
      <c r="A817" s="2" t="s">
        <v>6</v>
      </c>
      <c r="B817" s="2"/>
      <c r="C817" s="2" t="s">
        <v>1068</v>
      </c>
      <c r="D817" s="8">
        <v>45467</v>
      </c>
      <c r="E817" s="8"/>
      <c r="F817" s="8">
        <v>45504</v>
      </c>
      <c r="G817" s="8">
        <v>45482</v>
      </c>
      <c r="H817" s="4" t="s">
        <v>652</v>
      </c>
    </row>
    <row r="818" spans="1:8" hidden="1">
      <c r="A818" s="2" t="s">
        <v>6</v>
      </c>
      <c r="B818" s="2"/>
      <c r="C818" s="2" t="s">
        <v>1068</v>
      </c>
      <c r="D818" s="8">
        <v>45467</v>
      </c>
      <c r="E818" s="8"/>
      <c r="F818" s="8">
        <v>45504</v>
      </c>
      <c r="G818" s="8">
        <v>45482</v>
      </c>
      <c r="H818" s="4" t="s">
        <v>652</v>
      </c>
    </row>
    <row r="819" spans="1:8" hidden="1">
      <c r="A819" s="2" t="s">
        <v>6</v>
      </c>
      <c r="B819" s="2"/>
      <c r="C819" s="2" t="s">
        <v>1068</v>
      </c>
      <c r="D819" s="8">
        <v>45467</v>
      </c>
      <c r="E819" s="8"/>
      <c r="F819" s="8">
        <v>45504</v>
      </c>
      <c r="G819" s="8">
        <v>45482</v>
      </c>
      <c r="H819" s="4" t="s">
        <v>653</v>
      </c>
    </row>
    <row r="820" spans="1:8" hidden="1">
      <c r="A820" s="2" t="s">
        <v>6</v>
      </c>
      <c r="B820" s="2"/>
      <c r="C820" s="2" t="s">
        <v>1068</v>
      </c>
      <c r="D820" s="8">
        <v>45467</v>
      </c>
      <c r="E820" s="8"/>
      <c r="F820" s="8">
        <v>45504</v>
      </c>
      <c r="G820" s="8">
        <v>45482</v>
      </c>
      <c r="H820" s="4" t="s">
        <v>654</v>
      </c>
    </row>
    <row r="821" spans="1:8" hidden="1">
      <c r="A821" s="2" t="s">
        <v>6</v>
      </c>
      <c r="B821" s="2"/>
      <c r="C821" s="2" t="s">
        <v>1067</v>
      </c>
      <c r="D821" s="8">
        <v>45467</v>
      </c>
      <c r="E821" s="8"/>
      <c r="F821" s="8">
        <v>45504</v>
      </c>
      <c r="G821" s="8">
        <v>45482</v>
      </c>
      <c r="H821" s="4" t="s">
        <v>655</v>
      </c>
    </row>
    <row r="822" spans="1:8" hidden="1">
      <c r="A822" s="2" t="s">
        <v>5</v>
      </c>
      <c r="B822" s="2"/>
      <c r="C822" s="2" t="s">
        <v>1061</v>
      </c>
      <c r="D822" s="8">
        <v>45462</v>
      </c>
      <c r="E822" s="8"/>
      <c r="F822" s="8">
        <v>45517</v>
      </c>
      <c r="G822" s="8">
        <v>45477</v>
      </c>
      <c r="H822" s="4" t="s">
        <v>656</v>
      </c>
    </row>
    <row r="823" spans="1:8" hidden="1">
      <c r="A823" s="2" t="s">
        <v>5</v>
      </c>
      <c r="B823" s="2"/>
      <c r="C823" s="2" t="s">
        <v>1069</v>
      </c>
      <c r="D823" s="8">
        <v>45468</v>
      </c>
      <c r="E823" s="8"/>
      <c r="F823" s="8">
        <v>45510</v>
      </c>
      <c r="G823" s="8">
        <v>45483</v>
      </c>
      <c r="H823" s="4" t="s">
        <v>657</v>
      </c>
    </row>
    <row r="824" spans="1:8" hidden="1">
      <c r="A824" s="2" t="s">
        <v>6</v>
      </c>
      <c r="B824" s="2"/>
      <c r="C824" s="2" t="s">
        <v>1068</v>
      </c>
      <c r="D824" s="8">
        <v>45467</v>
      </c>
      <c r="E824" s="8"/>
      <c r="F824" s="8">
        <v>45504</v>
      </c>
      <c r="G824" s="8">
        <v>45482</v>
      </c>
      <c r="H824" s="4" t="s">
        <v>658</v>
      </c>
    </row>
    <row r="825" spans="1:8" hidden="1">
      <c r="A825" s="2" t="s">
        <v>5</v>
      </c>
      <c r="B825" s="2"/>
      <c r="C825" s="2" t="s">
        <v>301</v>
      </c>
      <c r="D825" s="8">
        <v>45468</v>
      </c>
      <c r="E825" s="8"/>
      <c r="F825" s="8">
        <v>45483</v>
      </c>
      <c r="G825" s="8">
        <v>45483</v>
      </c>
      <c r="H825" s="4" t="s">
        <v>659</v>
      </c>
    </row>
    <row r="826" spans="1:8" hidden="1">
      <c r="A826" s="2" t="s">
        <v>5</v>
      </c>
      <c r="B826" s="2"/>
      <c r="C826" s="2" t="s">
        <v>1070</v>
      </c>
      <c r="D826" s="8">
        <v>45474</v>
      </c>
      <c r="E826" s="8"/>
      <c r="F826" s="8">
        <v>45517</v>
      </c>
      <c r="G826" s="8">
        <v>45489</v>
      </c>
      <c r="H826" s="4" t="s">
        <v>660</v>
      </c>
    </row>
    <row r="827" spans="1:8" hidden="1">
      <c r="A827" s="2" t="s">
        <v>5</v>
      </c>
      <c r="B827" s="2"/>
      <c r="C827" s="2" t="s">
        <v>1070</v>
      </c>
      <c r="D827" s="8">
        <v>45474</v>
      </c>
      <c r="E827" s="8"/>
      <c r="F827" s="8">
        <v>45517</v>
      </c>
      <c r="G827" s="8">
        <v>45489</v>
      </c>
      <c r="H827" s="4" t="s">
        <v>661</v>
      </c>
    </row>
    <row r="828" spans="1:8" hidden="1">
      <c r="A828" s="2" t="s">
        <v>5</v>
      </c>
      <c r="B828" s="2"/>
      <c r="C828" s="2" t="s">
        <v>1070</v>
      </c>
      <c r="D828" s="8">
        <v>45474</v>
      </c>
      <c r="E828" s="8"/>
      <c r="F828" s="8">
        <v>45517</v>
      </c>
      <c r="G828" s="8">
        <v>45489</v>
      </c>
      <c r="H828" s="4" t="s">
        <v>662</v>
      </c>
    </row>
    <row r="829" spans="1:8" hidden="1">
      <c r="A829" s="2" t="s">
        <v>8</v>
      </c>
      <c r="B829" s="2"/>
      <c r="C829" s="2" t="s">
        <v>1036</v>
      </c>
      <c r="D829" s="8">
        <v>45480</v>
      </c>
      <c r="E829" s="8"/>
      <c r="F829" s="8">
        <v>45517</v>
      </c>
      <c r="G829" s="8">
        <v>45493</v>
      </c>
      <c r="H829" s="4" t="s">
        <v>663</v>
      </c>
    </row>
    <row r="830" spans="1:8" hidden="1">
      <c r="A830" s="2" t="s">
        <v>8</v>
      </c>
      <c r="B830" s="2"/>
      <c r="C830" s="2" t="s">
        <v>1036</v>
      </c>
      <c r="D830" s="8">
        <v>45480</v>
      </c>
      <c r="E830" s="8"/>
      <c r="F830" s="8">
        <v>45517</v>
      </c>
      <c r="G830" s="8">
        <v>45493</v>
      </c>
      <c r="H830" s="4" t="s">
        <v>664</v>
      </c>
    </row>
    <row r="831" spans="1:8" hidden="1">
      <c r="A831" s="2" t="s">
        <v>6</v>
      </c>
      <c r="B831" s="2"/>
      <c r="C831" s="2" t="s">
        <v>1071</v>
      </c>
      <c r="D831" s="8">
        <v>45491</v>
      </c>
      <c r="E831" s="8"/>
      <c r="F831" s="8">
        <v>45517</v>
      </c>
      <c r="G831" s="8">
        <v>45506</v>
      </c>
      <c r="H831" s="4" t="s">
        <v>665</v>
      </c>
    </row>
    <row r="832" spans="1:8" hidden="1">
      <c r="A832" s="2" t="s">
        <v>6</v>
      </c>
      <c r="B832" s="2"/>
      <c r="C832" s="2" t="s">
        <v>1071</v>
      </c>
      <c r="D832" s="8">
        <v>45491</v>
      </c>
      <c r="E832" s="8"/>
      <c r="F832" s="8">
        <v>45517</v>
      </c>
      <c r="G832" s="8">
        <v>45506</v>
      </c>
      <c r="H832" s="4" t="s">
        <v>665</v>
      </c>
    </row>
    <row r="833" spans="1:8" hidden="1">
      <c r="A833" s="2" t="s">
        <v>6</v>
      </c>
      <c r="B833" s="2"/>
      <c r="C833" s="2" t="s">
        <v>1071</v>
      </c>
      <c r="D833" s="8">
        <v>45491</v>
      </c>
      <c r="E833" s="8"/>
      <c r="F833" s="8">
        <v>45517</v>
      </c>
      <c r="G833" s="8">
        <v>45506</v>
      </c>
      <c r="H833" s="4" t="s">
        <v>665</v>
      </c>
    </row>
    <row r="834" spans="1:8" hidden="1">
      <c r="A834" s="2" t="s">
        <v>6</v>
      </c>
      <c r="B834" s="2"/>
      <c r="C834" s="2" t="s">
        <v>1071</v>
      </c>
      <c r="D834" s="8">
        <v>45491</v>
      </c>
      <c r="E834" s="8"/>
      <c r="F834" s="8">
        <v>45517</v>
      </c>
      <c r="G834" s="8">
        <v>45506</v>
      </c>
      <c r="H834" s="4" t="s">
        <v>665</v>
      </c>
    </row>
    <row r="835" spans="1:8" hidden="1">
      <c r="A835" s="2" t="s">
        <v>6</v>
      </c>
      <c r="B835" s="2"/>
      <c r="C835" s="2" t="s">
        <v>1071</v>
      </c>
      <c r="D835" s="8">
        <v>45491</v>
      </c>
      <c r="E835" s="8"/>
      <c r="F835" s="8">
        <v>45517</v>
      </c>
      <c r="G835" s="8">
        <v>45506</v>
      </c>
      <c r="H835" s="4" t="s">
        <v>665</v>
      </c>
    </row>
    <row r="836" spans="1:8" hidden="1">
      <c r="A836" s="2" t="s">
        <v>6</v>
      </c>
      <c r="B836" s="2"/>
      <c r="C836" s="2" t="s">
        <v>1071</v>
      </c>
      <c r="D836" s="8">
        <v>45491</v>
      </c>
      <c r="E836" s="8"/>
      <c r="F836" s="8">
        <v>45517</v>
      </c>
      <c r="G836" s="8">
        <v>45506</v>
      </c>
      <c r="H836" s="4" t="s">
        <v>665</v>
      </c>
    </row>
    <row r="837" spans="1:8" hidden="1">
      <c r="A837" s="2" t="s">
        <v>8</v>
      </c>
      <c r="B837" s="2"/>
      <c r="C837" s="2" t="s">
        <v>1072</v>
      </c>
      <c r="D837" s="8">
        <v>45484</v>
      </c>
      <c r="E837" s="8"/>
      <c r="F837" s="8">
        <v>45548</v>
      </c>
      <c r="G837" s="8">
        <v>45499</v>
      </c>
      <c r="H837" s="4" t="s">
        <v>666</v>
      </c>
    </row>
    <row r="838" spans="1:8" hidden="1">
      <c r="A838" s="2" t="s">
        <v>8</v>
      </c>
      <c r="B838" s="2"/>
      <c r="C838" s="2" t="s">
        <v>1072</v>
      </c>
      <c r="D838" s="8">
        <v>45484</v>
      </c>
      <c r="E838" s="8"/>
      <c r="F838" s="8">
        <v>45548</v>
      </c>
      <c r="G838" s="8">
        <v>45499</v>
      </c>
      <c r="H838" s="4" t="s">
        <v>666</v>
      </c>
    </row>
    <row r="839" spans="1:8" hidden="1">
      <c r="A839" s="2" t="s">
        <v>8</v>
      </c>
      <c r="B839" s="2"/>
      <c r="C839" s="2" t="s">
        <v>1072</v>
      </c>
      <c r="D839" s="8">
        <v>45484</v>
      </c>
      <c r="E839" s="8"/>
      <c r="F839" s="8">
        <v>45548</v>
      </c>
      <c r="G839" s="8">
        <v>45499</v>
      </c>
      <c r="H839" s="4" t="s">
        <v>667</v>
      </c>
    </row>
    <row r="840" spans="1:8" hidden="1">
      <c r="A840" s="2" t="s">
        <v>8</v>
      </c>
      <c r="B840" s="2"/>
      <c r="C840" s="2" t="s">
        <v>1072</v>
      </c>
      <c r="D840" s="8">
        <v>45484</v>
      </c>
      <c r="E840" s="8"/>
      <c r="F840" s="8">
        <v>45548</v>
      </c>
      <c r="G840" s="8">
        <v>45499</v>
      </c>
      <c r="H840" s="4" t="s">
        <v>666</v>
      </c>
    </row>
    <row r="841" spans="1:8" hidden="1">
      <c r="A841" s="2" t="s">
        <v>8</v>
      </c>
      <c r="B841" s="2"/>
      <c r="C841" s="2" t="s">
        <v>1073</v>
      </c>
      <c r="D841" s="8">
        <v>45484</v>
      </c>
      <c r="E841" s="8"/>
      <c r="F841" s="8">
        <v>45548</v>
      </c>
      <c r="G841" s="8">
        <v>45499</v>
      </c>
      <c r="H841" s="4" t="s">
        <v>668</v>
      </c>
    </row>
    <row r="842" spans="1:8" hidden="1">
      <c r="A842" s="2" t="s">
        <v>8</v>
      </c>
      <c r="B842" s="2"/>
      <c r="C842" s="2" t="s">
        <v>1073</v>
      </c>
      <c r="D842" s="8">
        <v>45484</v>
      </c>
      <c r="E842" s="8"/>
      <c r="F842" s="8">
        <v>45548</v>
      </c>
      <c r="G842" s="8">
        <v>45499</v>
      </c>
      <c r="H842" s="4" t="s">
        <v>668</v>
      </c>
    </row>
    <row r="843" spans="1:8" hidden="1">
      <c r="A843" s="2" t="s">
        <v>8</v>
      </c>
      <c r="B843" s="2"/>
      <c r="C843" s="2" t="s">
        <v>1073</v>
      </c>
      <c r="D843" s="8">
        <v>45484</v>
      </c>
      <c r="E843" s="8"/>
      <c r="F843" s="8">
        <v>45548</v>
      </c>
      <c r="G843" s="8">
        <v>45499</v>
      </c>
      <c r="H843" s="4" t="s">
        <v>669</v>
      </c>
    </row>
    <row r="844" spans="1:8" hidden="1">
      <c r="A844" s="2" t="s">
        <v>5</v>
      </c>
      <c r="B844" s="2"/>
      <c r="C844" s="2" t="s">
        <v>298</v>
      </c>
      <c r="D844" s="8">
        <v>45492</v>
      </c>
      <c r="E844" s="8"/>
      <c r="F844" s="8">
        <v>45517</v>
      </c>
      <c r="G844" s="8">
        <v>45507</v>
      </c>
      <c r="H844" s="4" t="s">
        <v>670</v>
      </c>
    </row>
    <row r="845" spans="1:8" hidden="1">
      <c r="A845" s="2" t="s">
        <v>6</v>
      </c>
      <c r="B845" s="2"/>
      <c r="C845" s="2" t="s">
        <v>1025</v>
      </c>
      <c r="D845" s="8">
        <v>45498</v>
      </c>
      <c r="E845" s="8"/>
      <c r="F845" s="8">
        <v>45517</v>
      </c>
      <c r="G845" s="8">
        <v>45513</v>
      </c>
      <c r="H845" s="4" t="s">
        <v>671</v>
      </c>
    </row>
    <row r="846" spans="1:8" hidden="1">
      <c r="A846" s="2" t="s">
        <v>6</v>
      </c>
      <c r="B846" s="2"/>
      <c r="C846" s="2" t="s">
        <v>1025</v>
      </c>
      <c r="D846" s="8">
        <v>45498</v>
      </c>
      <c r="E846" s="8"/>
      <c r="F846" s="8">
        <v>45517</v>
      </c>
      <c r="G846" s="8">
        <v>45513</v>
      </c>
      <c r="H846" s="4" t="s">
        <v>672</v>
      </c>
    </row>
    <row r="847" spans="1:8" hidden="1">
      <c r="A847" s="2" t="s">
        <v>6</v>
      </c>
      <c r="B847" s="2"/>
      <c r="C847" s="2" t="s">
        <v>1025</v>
      </c>
      <c r="D847" s="8">
        <v>45498</v>
      </c>
      <c r="E847" s="8"/>
      <c r="F847" s="8">
        <v>45517</v>
      </c>
      <c r="G847" s="8">
        <v>45513</v>
      </c>
      <c r="H847" s="4" t="s">
        <v>673</v>
      </c>
    </row>
    <row r="848" spans="1:8" hidden="1">
      <c r="A848" s="2" t="s">
        <v>6</v>
      </c>
      <c r="B848" s="2"/>
      <c r="C848" s="2" t="s">
        <v>1025</v>
      </c>
      <c r="D848" s="8">
        <v>45498</v>
      </c>
      <c r="E848" s="8"/>
      <c r="F848" s="8">
        <v>45517</v>
      </c>
      <c r="G848" s="8">
        <v>45513</v>
      </c>
      <c r="H848" s="4" t="s">
        <v>674</v>
      </c>
    </row>
    <row r="849" spans="1:8" hidden="1">
      <c r="A849" s="2" t="s">
        <v>6</v>
      </c>
      <c r="B849" s="2"/>
      <c r="C849" s="2" t="s">
        <v>1074</v>
      </c>
      <c r="D849" s="8">
        <v>45498</v>
      </c>
      <c r="E849" s="8"/>
      <c r="F849" s="8">
        <v>45517</v>
      </c>
      <c r="G849" s="8">
        <v>45513</v>
      </c>
      <c r="H849" s="4" t="s">
        <v>675</v>
      </c>
    </row>
    <row r="850" spans="1:8" hidden="1">
      <c r="A850" s="2" t="s">
        <v>6</v>
      </c>
      <c r="B850" s="2"/>
      <c r="C850" s="2" t="s">
        <v>1074</v>
      </c>
      <c r="D850" s="8">
        <v>45498</v>
      </c>
      <c r="E850" s="8"/>
      <c r="F850" s="8">
        <v>45517</v>
      </c>
      <c r="G850" s="8">
        <v>45513</v>
      </c>
      <c r="H850" s="4" t="s">
        <v>676</v>
      </c>
    </row>
    <row r="851" spans="1:8" hidden="1">
      <c r="A851" s="2" t="s">
        <v>5</v>
      </c>
      <c r="B851" s="2"/>
      <c r="C851" s="2" t="s">
        <v>1075</v>
      </c>
      <c r="D851" s="8">
        <v>45494</v>
      </c>
      <c r="E851" s="8"/>
      <c r="F851" s="8">
        <v>45556</v>
      </c>
      <c r="G851" s="8">
        <v>45507</v>
      </c>
      <c r="H851" s="4" t="s">
        <v>677</v>
      </c>
    </row>
    <row r="852" spans="1:8" hidden="1">
      <c r="A852" s="2" t="s">
        <v>5</v>
      </c>
      <c r="B852" s="2"/>
      <c r="C852" s="2" t="s">
        <v>1075</v>
      </c>
      <c r="D852" s="8">
        <v>45494</v>
      </c>
      <c r="E852" s="8"/>
      <c r="F852" s="8">
        <v>45556</v>
      </c>
      <c r="G852" s="8">
        <v>45507</v>
      </c>
      <c r="H852" s="4" t="s">
        <v>678</v>
      </c>
    </row>
    <row r="853" spans="1:8" hidden="1">
      <c r="A853" s="2" t="s">
        <v>5</v>
      </c>
      <c r="B853" s="2"/>
      <c r="C853" s="2" t="s">
        <v>1075</v>
      </c>
      <c r="D853" s="8">
        <v>45494</v>
      </c>
      <c r="E853" s="8"/>
      <c r="F853" s="8">
        <v>45556</v>
      </c>
      <c r="G853" s="8">
        <v>45507</v>
      </c>
      <c r="H853" s="4" t="s">
        <v>679</v>
      </c>
    </row>
    <row r="854" spans="1:8" hidden="1">
      <c r="A854" s="2" t="s">
        <v>8</v>
      </c>
      <c r="B854" s="2"/>
      <c r="C854" s="2" t="s">
        <v>1058</v>
      </c>
      <c r="D854" s="8">
        <v>45496</v>
      </c>
      <c r="E854" s="8"/>
      <c r="F854" s="8">
        <v>45517</v>
      </c>
      <c r="G854" s="8">
        <v>45511</v>
      </c>
      <c r="H854" s="4" t="s">
        <v>680</v>
      </c>
    </row>
    <row r="855" spans="1:8" hidden="1">
      <c r="A855" s="2" t="s">
        <v>5</v>
      </c>
      <c r="B855" s="2"/>
      <c r="C855" s="2" t="s">
        <v>1076</v>
      </c>
      <c r="D855" s="8">
        <v>45503</v>
      </c>
      <c r="E855" s="8"/>
      <c r="F855" s="8">
        <v>45530</v>
      </c>
      <c r="G855" s="8">
        <v>45518</v>
      </c>
      <c r="H855" s="4" t="s">
        <v>681</v>
      </c>
    </row>
    <row r="856" spans="1:8" hidden="1">
      <c r="A856" s="2" t="s">
        <v>5</v>
      </c>
      <c r="B856" s="2"/>
      <c r="C856" s="2" t="s">
        <v>1076</v>
      </c>
      <c r="D856" s="8">
        <v>45503</v>
      </c>
      <c r="E856" s="8"/>
      <c r="F856" s="8">
        <v>45530</v>
      </c>
      <c r="G856" s="8">
        <v>45518</v>
      </c>
      <c r="H856" s="4" t="s">
        <v>682</v>
      </c>
    </row>
    <row r="857" spans="1:8" hidden="1">
      <c r="A857" s="2" t="s">
        <v>5</v>
      </c>
      <c r="B857" s="2"/>
      <c r="C857" s="2" t="s">
        <v>298</v>
      </c>
      <c r="D857" s="8">
        <v>45492</v>
      </c>
      <c r="E857" s="8"/>
      <c r="F857" s="8">
        <v>45517</v>
      </c>
      <c r="G857" s="8">
        <v>45507</v>
      </c>
      <c r="H857" s="4" t="s">
        <v>683</v>
      </c>
    </row>
    <row r="858" spans="1:8" hidden="1">
      <c r="A858" s="2" t="s">
        <v>8</v>
      </c>
      <c r="B858" s="2"/>
      <c r="C858" s="2" t="s">
        <v>1072</v>
      </c>
      <c r="D858" s="8">
        <v>45498</v>
      </c>
      <c r="E858" s="8"/>
      <c r="F858" s="8">
        <v>45517</v>
      </c>
      <c r="G858" s="8">
        <v>45513</v>
      </c>
      <c r="H858" s="4" t="s">
        <v>684</v>
      </c>
    </row>
    <row r="859" spans="1:8" hidden="1">
      <c r="A859" s="2" t="s">
        <v>8</v>
      </c>
      <c r="B859" s="2"/>
      <c r="C859" s="2" t="s">
        <v>1073</v>
      </c>
      <c r="D859" s="8">
        <v>45498</v>
      </c>
      <c r="E859" s="8"/>
      <c r="F859" s="8">
        <v>45517</v>
      </c>
      <c r="G859" s="8">
        <v>45513</v>
      </c>
      <c r="H859" s="4" t="s">
        <v>685</v>
      </c>
    </row>
    <row r="860" spans="1:8" hidden="1">
      <c r="A860" s="2" t="s">
        <v>5</v>
      </c>
      <c r="B860" s="2"/>
      <c r="C860" s="2" t="s">
        <v>308</v>
      </c>
      <c r="D860" s="8">
        <v>45534</v>
      </c>
      <c r="E860" s="8"/>
      <c r="F860" s="8">
        <v>45565</v>
      </c>
      <c r="G860" s="8">
        <v>45549</v>
      </c>
      <c r="H860" s="4" t="s">
        <v>686</v>
      </c>
    </row>
    <row r="861" spans="1:8" hidden="1">
      <c r="A861" s="2" t="s">
        <v>5</v>
      </c>
      <c r="B861" s="2"/>
      <c r="C861" s="2" t="s">
        <v>308</v>
      </c>
      <c r="D861" s="8">
        <v>45534</v>
      </c>
      <c r="E861" s="8"/>
      <c r="F861" s="8">
        <v>45565</v>
      </c>
      <c r="G861" s="8">
        <v>45549</v>
      </c>
      <c r="H861" s="4" t="s">
        <v>687</v>
      </c>
    </row>
    <row r="862" spans="1:8" hidden="1">
      <c r="A862" s="2" t="s">
        <v>5</v>
      </c>
      <c r="B862" s="2"/>
      <c r="C862" s="2" t="s">
        <v>308</v>
      </c>
      <c r="D862" s="8">
        <v>45534</v>
      </c>
      <c r="E862" s="8"/>
      <c r="F862" s="8">
        <v>45565</v>
      </c>
      <c r="G862" s="8">
        <v>45549</v>
      </c>
      <c r="H862" s="4" t="s">
        <v>688</v>
      </c>
    </row>
    <row r="863" spans="1:8" hidden="1">
      <c r="A863" s="2" t="s">
        <v>6</v>
      </c>
      <c r="B863" s="2"/>
      <c r="C863" s="2" t="s">
        <v>277</v>
      </c>
      <c r="D863" s="8">
        <v>45525</v>
      </c>
      <c r="E863" s="8"/>
      <c r="F863" s="8">
        <v>45559</v>
      </c>
      <c r="G863" s="8">
        <v>45540</v>
      </c>
      <c r="H863" s="4" t="s">
        <v>689</v>
      </c>
    </row>
    <row r="864" spans="1:8" hidden="1">
      <c r="A864" s="2" t="s">
        <v>6</v>
      </c>
      <c r="B864" s="2"/>
      <c r="C864" s="2" t="s">
        <v>1077</v>
      </c>
      <c r="D864" s="8">
        <v>45531</v>
      </c>
      <c r="E864" s="8"/>
      <c r="F864" s="8">
        <v>45565</v>
      </c>
      <c r="G864" s="8">
        <v>45546</v>
      </c>
      <c r="H864" s="4" t="s">
        <v>690</v>
      </c>
    </row>
    <row r="865" spans="1:8" hidden="1">
      <c r="A865" s="2" t="s">
        <v>6</v>
      </c>
      <c r="B865" s="2"/>
      <c r="C865" s="2" t="s">
        <v>1077</v>
      </c>
      <c r="D865" s="8">
        <v>45532</v>
      </c>
      <c r="E865" s="8"/>
      <c r="F865" s="8">
        <v>45558</v>
      </c>
      <c r="G865" s="8">
        <v>45547</v>
      </c>
      <c r="H865" s="4" t="s">
        <v>691</v>
      </c>
    </row>
    <row r="866" spans="1:8" hidden="1">
      <c r="A866" s="2" t="s">
        <v>6</v>
      </c>
      <c r="B866" s="2"/>
      <c r="C866" s="2" t="s">
        <v>1077</v>
      </c>
      <c r="D866" s="8">
        <v>45525</v>
      </c>
      <c r="E866" s="8"/>
      <c r="F866" s="8">
        <v>45558</v>
      </c>
      <c r="G866" s="8">
        <v>45540</v>
      </c>
      <c r="H866" s="4" t="s">
        <v>692</v>
      </c>
    </row>
    <row r="867" spans="1:8" hidden="1">
      <c r="A867" s="2" t="s">
        <v>6</v>
      </c>
      <c r="B867" s="2"/>
      <c r="C867" s="2" t="s">
        <v>1077</v>
      </c>
      <c r="D867" s="8">
        <v>45525</v>
      </c>
      <c r="E867" s="8"/>
      <c r="F867" s="8">
        <v>45558</v>
      </c>
      <c r="G867" s="8">
        <v>45540</v>
      </c>
      <c r="H867" s="4" t="s">
        <v>693</v>
      </c>
    </row>
    <row r="868" spans="1:8" hidden="1">
      <c r="A868" s="2" t="s">
        <v>6</v>
      </c>
      <c r="B868" s="2"/>
      <c r="C868" s="2" t="s">
        <v>1077</v>
      </c>
      <c r="D868" s="8">
        <v>45518</v>
      </c>
      <c r="E868" s="8"/>
      <c r="F868" s="8">
        <v>45558</v>
      </c>
      <c r="G868" s="8">
        <v>45533</v>
      </c>
      <c r="H868" s="4" t="s">
        <v>694</v>
      </c>
    </row>
    <row r="869" spans="1:8" hidden="1">
      <c r="A869" s="2" t="s">
        <v>6</v>
      </c>
      <c r="B869" s="2"/>
      <c r="C869" s="2" t="s">
        <v>1077</v>
      </c>
      <c r="D869" s="8">
        <v>45518</v>
      </c>
      <c r="E869" s="8"/>
      <c r="F869" s="8">
        <v>45558</v>
      </c>
      <c r="G869" s="8">
        <v>45533</v>
      </c>
      <c r="H869" s="4" t="s">
        <v>695</v>
      </c>
    </row>
    <row r="870" spans="1:8" hidden="1">
      <c r="A870" s="2" t="s">
        <v>6</v>
      </c>
      <c r="B870" s="2"/>
      <c r="C870" s="2" t="s">
        <v>1077</v>
      </c>
      <c r="D870" s="8">
        <v>45518</v>
      </c>
      <c r="E870" s="8"/>
      <c r="F870" s="8">
        <v>45558</v>
      </c>
      <c r="G870" s="8">
        <v>45533</v>
      </c>
      <c r="H870" s="4" t="s">
        <v>696</v>
      </c>
    </row>
    <row r="871" spans="1:8" hidden="1">
      <c r="A871" s="2" t="s">
        <v>6</v>
      </c>
      <c r="B871" s="2"/>
      <c r="C871" s="2" t="s">
        <v>1077</v>
      </c>
      <c r="D871" s="8">
        <v>45518</v>
      </c>
      <c r="E871" s="8"/>
      <c r="F871" s="8">
        <v>45558</v>
      </c>
      <c r="G871" s="8">
        <v>45533</v>
      </c>
      <c r="H871" s="4" t="s">
        <v>697</v>
      </c>
    </row>
    <row r="872" spans="1:8" hidden="1">
      <c r="A872" s="2" t="s">
        <v>6</v>
      </c>
      <c r="B872" s="2"/>
      <c r="C872" s="2" t="s">
        <v>1078</v>
      </c>
      <c r="D872" s="8">
        <v>45512</v>
      </c>
      <c r="E872" s="8"/>
      <c r="F872" s="8">
        <v>45558</v>
      </c>
      <c r="G872" s="8">
        <v>45527</v>
      </c>
      <c r="H872" s="4" t="s">
        <v>698</v>
      </c>
    </row>
    <row r="873" spans="1:8" hidden="1">
      <c r="A873" s="2" t="s">
        <v>6</v>
      </c>
      <c r="B873" s="2"/>
      <c r="C873" s="2" t="s">
        <v>1078</v>
      </c>
      <c r="D873" s="8">
        <v>45512</v>
      </c>
      <c r="E873" s="8"/>
      <c r="F873" s="8">
        <v>45558</v>
      </c>
      <c r="G873" s="8">
        <v>45527</v>
      </c>
      <c r="H873" s="4" t="s">
        <v>699</v>
      </c>
    </row>
    <row r="874" spans="1:8" hidden="1">
      <c r="A874" s="2" t="s">
        <v>6</v>
      </c>
      <c r="B874" s="2"/>
      <c r="C874" s="2" t="s">
        <v>1078</v>
      </c>
      <c r="D874" s="8">
        <v>45512</v>
      </c>
      <c r="E874" s="8"/>
      <c r="F874" s="8">
        <v>45558</v>
      </c>
      <c r="G874" s="8">
        <v>45527</v>
      </c>
      <c r="H874" s="4" t="s">
        <v>700</v>
      </c>
    </row>
    <row r="875" spans="1:8" hidden="1">
      <c r="A875" s="2" t="s">
        <v>6</v>
      </c>
      <c r="B875" s="2"/>
      <c r="C875" s="2" t="s">
        <v>1078</v>
      </c>
      <c r="D875" s="8">
        <v>45517</v>
      </c>
      <c r="E875" s="8"/>
      <c r="F875" s="8">
        <v>45558</v>
      </c>
      <c r="G875" s="8">
        <v>45532</v>
      </c>
      <c r="H875" s="4" t="s">
        <v>701</v>
      </c>
    </row>
    <row r="876" spans="1:8" hidden="1">
      <c r="A876" s="2" t="s">
        <v>6</v>
      </c>
      <c r="B876" s="2"/>
      <c r="C876" s="2" t="s">
        <v>1078</v>
      </c>
      <c r="D876" s="8">
        <v>45517</v>
      </c>
      <c r="E876" s="8"/>
      <c r="F876" s="8">
        <v>45558</v>
      </c>
      <c r="G876" s="8">
        <v>45532</v>
      </c>
      <c r="H876" s="4" t="s">
        <v>701</v>
      </c>
    </row>
    <row r="877" spans="1:8" hidden="1">
      <c r="A877" s="2" t="s">
        <v>6</v>
      </c>
      <c r="B877" s="2"/>
      <c r="C877" s="2" t="s">
        <v>1078</v>
      </c>
      <c r="D877" s="8">
        <v>45523</v>
      </c>
      <c r="E877" s="8"/>
      <c r="F877" s="8">
        <v>45561</v>
      </c>
      <c r="G877" s="8">
        <v>45538</v>
      </c>
      <c r="H877" s="4" t="s">
        <v>702</v>
      </c>
    </row>
    <row r="878" spans="1:8" hidden="1">
      <c r="A878" s="2" t="s">
        <v>6</v>
      </c>
      <c r="B878" s="2"/>
      <c r="C878" s="2" t="s">
        <v>1078</v>
      </c>
      <c r="D878" s="8">
        <v>45523</v>
      </c>
      <c r="E878" s="8"/>
      <c r="F878" s="8">
        <v>45561</v>
      </c>
      <c r="G878" s="8">
        <v>45538</v>
      </c>
      <c r="H878" s="4" t="s">
        <v>703</v>
      </c>
    </row>
    <row r="879" spans="1:8" hidden="1">
      <c r="A879" s="2" t="s">
        <v>6</v>
      </c>
      <c r="B879" s="2"/>
      <c r="C879" s="2" t="s">
        <v>1078</v>
      </c>
      <c r="D879" s="8">
        <v>45523</v>
      </c>
      <c r="E879" s="8"/>
      <c r="F879" s="8">
        <v>45561</v>
      </c>
      <c r="G879" s="8">
        <v>45538</v>
      </c>
      <c r="H879" s="4" t="s">
        <v>704</v>
      </c>
    </row>
    <row r="880" spans="1:8" hidden="1">
      <c r="A880" s="2" t="s">
        <v>6</v>
      </c>
      <c r="B880" s="2"/>
      <c r="C880" s="2" t="s">
        <v>1078</v>
      </c>
      <c r="D880" s="8">
        <v>45523</v>
      </c>
      <c r="E880" s="8"/>
      <c r="F880" s="8">
        <v>45561</v>
      </c>
      <c r="G880" s="8">
        <v>45538</v>
      </c>
      <c r="H880" s="4" t="s">
        <v>704</v>
      </c>
    </row>
    <row r="881" spans="1:8" hidden="1">
      <c r="A881" s="2" t="s">
        <v>6</v>
      </c>
      <c r="B881" s="2"/>
      <c r="C881" s="2" t="s">
        <v>1078</v>
      </c>
      <c r="D881" s="8">
        <v>45523</v>
      </c>
      <c r="E881" s="8"/>
      <c r="F881" s="8">
        <v>45561</v>
      </c>
      <c r="G881" s="8">
        <v>45538</v>
      </c>
      <c r="H881" s="4" t="s">
        <v>705</v>
      </c>
    </row>
    <row r="882" spans="1:8" hidden="1">
      <c r="A882" s="2" t="s">
        <v>6</v>
      </c>
      <c r="B882" s="2"/>
      <c r="C882" s="2" t="s">
        <v>1078</v>
      </c>
      <c r="D882" s="8">
        <v>45532</v>
      </c>
      <c r="E882" s="8"/>
      <c r="F882" s="8">
        <v>45560</v>
      </c>
      <c r="G882" s="8">
        <v>45547</v>
      </c>
      <c r="H882" s="4" t="s">
        <v>706</v>
      </c>
    </row>
    <row r="883" spans="1:8" hidden="1">
      <c r="A883" s="2" t="s">
        <v>6</v>
      </c>
      <c r="B883" s="2"/>
      <c r="C883" s="2" t="s">
        <v>1078</v>
      </c>
      <c r="D883" s="8">
        <v>45532</v>
      </c>
      <c r="E883" s="8"/>
      <c r="F883" s="8">
        <v>45560</v>
      </c>
      <c r="G883" s="8">
        <v>45547</v>
      </c>
      <c r="H883" s="4" t="s">
        <v>707</v>
      </c>
    </row>
    <row r="884" spans="1:8" hidden="1">
      <c r="A884" s="2" t="s">
        <v>6</v>
      </c>
      <c r="B884" s="2"/>
      <c r="C884" s="2" t="s">
        <v>1078</v>
      </c>
      <c r="D884" s="8">
        <v>45532</v>
      </c>
      <c r="E884" s="8"/>
      <c r="F884" s="8">
        <v>45560</v>
      </c>
      <c r="G884" s="8">
        <v>45547</v>
      </c>
      <c r="H884" s="4" t="s">
        <v>708</v>
      </c>
    </row>
    <row r="885" spans="1:8" hidden="1">
      <c r="A885" s="2" t="s">
        <v>6</v>
      </c>
      <c r="B885" s="2"/>
      <c r="C885" s="2" t="s">
        <v>1078</v>
      </c>
      <c r="D885" s="8">
        <v>45532</v>
      </c>
      <c r="E885" s="8"/>
      <c r="F885" s="8">
        <v>45560</v>
      </c>
      <c r="G885" s="8">
        <v>45547</v>
      </c>
      <c r="H885" s="4" t="s">
        <v>709</v>
      </c>
    </row>
    <row r="886" spans="1:8" hidden="1">
      <c r="A886" s="2" t="s">
        <v>6</v>
      </c>
      <c r="B886" s="2"/>
      <c r="C886" s="2" t="s">
        <v>1078</v>
      </c>
      <c r="D886" s="8">
        <v>45518</v>
      </c>
      <c r="E886" s="8"/>
      <c r="F886" s="8">
        <v>45558</v>
      </c>
      <c r="G886" s="8">
        <v>45533</v>
      </c>
      <c r="H886" s="4" t="s">
        <v>710</v>
      </c>
    </row>
    <row r="887" spans="1:8" hidden="1">
      <c r="A887" s="2" t="s">
        <v>6</v>
      </c>
      <c r="B887" s="2"/>
      <c r="C887" s="2" t="s">
        <v>1078</v>
      </c>
      <c r="D887" s="8">
        <v>45518</v>
      </c>
      <c r="E887" s="8"/>
      <c r="F887" s="8">
        <v>45558</v>
      </c>
      <c r="G887" s="8">
        <v>45533</v>
      </c>
      <c r="H887" s="4" t="s">
        <v>711</v>
      </c>
    </row>
    <row r="888" spans="1:8" hidden="1">
      <c r="A888" s="2" t="s">
        <v>6</v>
      </c>
      <c r="B888" s="2"/>
      <c r="C888" s="2" t="s">
        <v>1078</v>
      </c>
      <c r="D888" s="8">
        <v>45518</v>
      </c>
      <c r="E888" s="8"/>
      <c r="F888" s="8">
        <v>45558</v>
      </c>
      <c r="G888" s="8">
        <v>45533</v>
      </c>
      <c r="H888" s="4" t="s">
        <v>712</v>
      </c>
    </row>
    <row r="889" spans="1:8" hidden="1">
      <c r="A889" s="2" t="s">
        <v>5</v>
      </c>
      <c r="B889" s="2"/>
      <c r="C889" s="2" t="s">
        <v>308</v>
      </c>
      <c r="D889" s="8">
        <v>45560</v>
      </c>
      <c r="E889" s="8"/>
      <c r="F889" s="8">
        <v>45565</v>
      </c>
      <c r="G889" s="8">
        <v>45575</v>
      </c>
      <c r="H889" s="4" t="s">
        <v>713</v>
      </c>
    </row>
    <row r="890" spans="1:8" hidden="1">
      <c r="A890" s="2" t="s">
        <v>5</v>
      </c>
      <c r="B890" s="2"/>
      <c r="C890" s="2" t="s">
        <v>308</v>
      </c>
      <c r="D890" s="8">
        <v>45560</v>
      </c>
      <c r="E890" s="8"/>
      <c r="F890" s="8">
        <v>45565</v>
      </c>
      <c r="G890" s="8">
        <v>45575</v>
      </c>
      <c r="H890" s="4" t="s">
        <v>714</v>
      </c>
    </row>
    <row r="891" spans="1:8" hidden="1">
      <c r="A891" s="2" t="s">
        <v>5</v>
      </c>
      <c r="B891" s="2"/>
      <c r="C891" s="2" t="s">
        <v>308</v>
      </c>
      <c r="D891" s="8">
        <v>45560</v>
      </c>
      <c r="E891" s="8"/>
      <c r="F891" s="8">
        <v>45565</v>
      </c>
      <c r="G891" s="8">
        <v>45575</v>
      </c>
      <c r="H891" s="4" t="s">
        <v>715</v>
      </c>
    </row>
    <row r="892" spans="1:8" hidden="1">
      <c r="A892" s="2" t="s">
        <v>8</v>
      </c>
      <c r="B892" s="2"/>
      <c r="C892" s="2" t="s">
        <v>1072</v>
      </c>
      <c r="D892" s="8">
        <v>45531</v>
      </c>
      <c r="E892" s="8"/>
      <c r="F892" s="8">
        <v>45592</v>
      </c>
      <c r="G892" s="8">
        <v>45546</v>
      </c>
      <c r="H892" s="4" t="s">
        <v>716</v>
      </c>
    </row>
    <row r="893" spans="1:8" hidden="1">
      <c r="A893" s="2" t="s">
        <v>8</v>
      </c>
      <c r="B893" s="2"/>
      <c r="C893" s="2" t="s">
        <v>1072</v>
      </c>
      <c r="D893" s="8">
        <v>45531</v>
      </c>
      <c r="E893" s="8"/>
      <c r="F893" s="8">
        <v>45592</v>
      </c>
      <c r="G893" s="8">
        <v>45546</v>
      </c>
      <c r="H893" s="4" t="s">
        <v>717</v>
      </c>
    </row>
    <row r="894" spans="1:8" hidden="1">
      <c r="A894" s="2" t="s">
        <v>8</v>
      </c>
      <c r="B894" s="2"/>
      <c r="C894" s="2" t="s">
        <v>1072</v>
      </c>
      <c r="D894" s="8">
        <v>45531</v>
      </c>
      <c r="E894" s="8"/>
      <c r="F894" s="8">
        <v>45592</v>
      </c>
      <c r="G894" s="8">
        <v>45546</v>
      </c>
      <c r="H894" s="4" t="s">
        <v>716</v>
      </c>
    </row>
    <row r="895" spans="1:8" hidden="1">
      <c r="A895" s="2" t="s">
        <v>8</v>
      </c>
      <c r="B895" s="2"/>
      <c r="C895" s="2" t="s">
        <v>1079</v>
      </c>
      <c r="D895" s="8">
        <v>45533</v>
      </c>
      <c r="E895" s="8"/>
      <c r="F895" s="8">
        <v>45592</v>
      </c>
      <c r="G895" s="8">
        <v>45548</v>
      </c>
      <c r="H895" s="4" t="s">
        <v>718</v>
      </c>
    </row>
    <row r="896" spans="1:8" hidden="1">
      <c r="A896" s="2" t="s">
        <v>8</v>
      </c>
      <c r="B896" s="2"/>
      <c r="C896" s="2" t="s">
        <v>1080</v>
      </c>
      <c r="D896" s="8">
        <v>45498</v>
      </c>
      <c r="E896" s="8"/>
      <c r="F896" s="8">
        <v>45529</v>
      </c>
      <c r="G896" s="8">
        <v>45513</v>
      </c>
      <c r="H896" s="4" t="s">
        <v>719</v>
      </c>
    </row>
    <row r="897" spans="1:8" hidden="1">
      <c r="A897" s="2" t="s">
        <v>8</v>
      </c>
      <c r="B897" s="2"/>
      <c r="C897" s="2" t="s">
        <v>1080</v>
      </c>
      <c r="D897" s="8">
        <v>45498</v>
      </c>
      <c r="E897" s="8"/>
      <c r="F897" s="8">
        <v>45529</v>
      </c>
      <c r="G897" s="8">
        <v>45513</v>
      </c>
      <c r="H897" s="4" t="s">
        <v>719</v>
      </c>
    </row>
    <row r="898" spans="1:8" hidden="1">
      <c r="A898" s="2" t="s">
        <v>8</v>
      </c>
      <c r="B898" s="2"/>
      <c r="C898" s="2" t="s">
        <v>1080</v>
      </c>
      <c r="D898" s="8">
        <v>45498</v>
      </c>
      <c r="E898" s="8"/>
      <c r="F898" s="8">
        <v>45529</v>
      </c>
      <c r="G898" s="8">
        <v>45513</v>
      </c>
      <c r="H898" s="4" t="s">
        <v>719</v>
      </c>
    </row>
    <row r="899" spans="1:8" hidden="1">
      <c r="A899" s="2" t="s">
        <v>8</v>
      </c>
      <c r="B899" s="2"/>
      <c r="C899" s="2" t="s">
        <v>1080</v>
      </c>
      <c r="D899" s="8">
        <v>45498</v>
      </c>
      <c r="E899" s="8"/>
      <c r="F899" s="8">
        <v>45529</v>
      </c>
      <c r="G899" s="8">
        <v>45513</v>
      </c>
      <c r="H899" s="4" t="s">
        <v>720</v>
      </c>
    </row>
    <row r="900" spans="1:8" hidden="1">
      <c r="A900" s="2" t="s">
        <v>8</v>
      </c>
      <c r="B900" s="2"/>
      <c r="C900" s="2" t="s">
        <v>1080</v>
      </c>
      <c r="D900" s="8">
        <v>45498</v>
      </c>
      <c r="E900" s="8"/>
      <c r="F900" s="8">
        <v>45529</v>
      </c>
      <c r="G900" s="8">
        <v>45513</v>
      </c>
      <c r="H900" s="4" t="s">
        <v>719</v>
      </c>
    </row>
    <row r="901" spans="1:8" hidden="1">
      <c r="A901" s="2" t="s">
        <v>8</v>
      </c>
      <c r="B901" s="2"/>
      <c r="C901" s="2" t="s">
        <v>1080</v>
      </c>
      <c r="D901" s="8">
        <v>45498</v>
      </c>
      <c r="E901" s="8"/>
      <c r="F901" s="8">
        <v>45529</v>
      </c>
      <c r="G901" s="8">
        <v>45513</v>
      </c>
      <c r="H901" s="4" t="s">
        <v>719</v>
      </c>
    </row>
    <row r="902" spans="1:8" hidden="1">
      <c r="A902" s="2" t="s">
        <v>8</v>
      </c>
      <c r="B902" s="2"/>
      <c r="C902" s="2" t="s">
        <v>1072</v>
      </c>
      <c r="D902" s="8">
        <v>45498</v>
      </c>
      <c r="E902" s="8"/>
      <c r="F902" s="8">
        <v>45548</v>
      </c>
      <c r="G902" s="8">
        <v>45513</v>
      </c>
      <c r="H902" s="4" t="s">
        <v>721</v>
      </c>
    </row>
    <row r="903" spans="1:8" hidden="1">
      <c r="A903" s="2" t="s">
        <v>8</v>
      </c>
      <c r="B903" s="2"/>
      <c r="C903" s="2" t="s">
        <v>1072</v>
      </c>
      <c r="D903" s="8">
        <v>45498</v>
      </c>
      <c r="E903" s="8"/>
      <c r="F903" s="8">
        <v>45548</v>
      </c>
      <c r="G903" s="8">
        <v>45513</v>
      </c>
      <c r="H903" s="4" t="s">
        <v>721</v>
      </c>
    </row>
    <row r="904" spans="1:8" hidden="1">
      <c r="A904" s="2" t="s">
        <v>8</v>
      </c>
      <c r="B904" s="2"/>
      <c r="C904" s="2" t="s">
        <v>1072</v>
      </c>
      <c r="D904" s="8">
        <v>45498</v>
      </c>
      <c r="E904" s="8"/>
      <c r="F904" s="8">
        <v>45548</v>
      </c>
      <c r="G904" s="8">
        <v>45513</v>
      </c>
      <c r="H904" s="4" t="s">
        <v>722</v>
      </c>
    </row>
    <row r="905" spans="1:8" hidden="1">
      <c r="A905" s="2" t="s">
        <v>8</v>
      </c>
      <c r="B905" s="2"/>
      <c r="C905" s="2" t="s">
        <v>1072</v>
      </c>
      <c r="D905" s="8">
        <v>45498</v>
      </c>
      <c r="E905" s="8"/>
      <c r="F905" s="8">
        <v>45548</v>
      </c>
      <c r="G905" s="8">
        <v>45513</v>
      </c>
      <c r="H905" s="4" t="s">
        <v>721</v>
      </c>
    </row>
    <row r="906" spans="1:8" hidden="1">
      <c r="A906" s="2" t="s">
        <v>8</v>
      </c>
      <c r="B906" s="2"/>
      <c r="C906" s="2" t="s">
        <v>1073</v>
      </c>
      <c r="D906" s="8">
        <v>45484</v>
      </c>
      <c r="E906" s="8"/>
      <c r="F906" s="8">
        <v>45548</v>
      </c>
      <c r="G906" s="8">
        <v>45499</v>
      </c>
      <c r="H906" s="4" t="s">
        <v>723</v>
      </c>
    </row>
    <row r="907" spans="1:8" hidden="1">
      <c r="A907" s="2" t="s">
        <v>8</v>
      </c>
      <c r="B907" s="2"/>
      <c r="C907" s="2" t="s">
        <v>1073</v>
      </c>
      <c r="D907" s="8">
        <v>45484</v>
      </c>
      <c r="E907" s="8"/>
      <c r="F907" s="8">
        <v>45548</v>
      </c>
      <c r="G907" s="8">
        <v>45499</v>
      </c>
      <c r="H907" s="4" t="s">
        <v>723</v>
      </c>
    </row>
    <row r="908" spans="1:8" hidden="1">
      <c r="A908" s="2" t="s">
        <v>8</v>
      </c>
      <c r="B908" s="2"/>
      <c r="C908" s="2" t="s">
        <v>1073</v>
      </c>
      <c r="D908" s="8">
        <v>45484</v>
      </c>
      <c r="E908" s="8"/>
      <c r="F908" s="8">
        <v>45548</v>
      </c>
      <c r="G908" s="8">
        <v>45499</v>
      </c>
      <c r="H908" s="4" t="s">
        <v>723</v>
      </c>
    </row>
    <row r="909" spans="1:8" hidden="1">
      <c r="A909" s="2" t="s">
        <v>8</v>
      </c>
      <c r="B909" s="2"/>
      <c r="C909" s="2" t="s">
        <v>1073</v>
      </c>
      <c r="D909" s="8">
        <v>45484</v>
      </c>
      <c r="E909" s="8"/>
      <c r="F909" s="8">
        <v>45548</v>
      </c>
      <c r="G909" s="8">
        <v>45499</v>
      </c>
      <c r="H909" s="4" t="s">
        <v>724</v>
      </c>
    </row>
    <row r="910" spans="1:8" hidden="1">
      <c r="A910" s="2" t="s">
        <v>8</v>
      </c>
      <c r="B910" s="2"/>
      <c r="C910" s="2" t="s">
        <v>1058</v>
      </c>
      <c r="D910" s="8">
        <v>45492</v>
      </c>
      <c r="E910" s="8"/>
      <c r="F910" s="8">
        <v>45535</v>
      </c>
      <c r="G910" s="8">
        <v>45507</v>
      </c>
      <c r="H910" s="4" t="s">
        <v>725</v>
      </c>
    </row>
    <row r="911" spans="1:8" hidden="1">
      <c r="A911" s="2" t="s">
        <v>8</v>
      </c>
      <c r="B911" s="2"/>
      <c r="C911" s="2" t="s">
        <v>1058</v>
      </c>
      <c r="D911" s="8">
        <v>45492</v>
      </c>
      <c r="E911" s="8"/>
      <c r="F911" s="8">
        <v>45535</v>
      </c>
      <c r="G911" s="8">
        <v>45507</v>
      </c>
      <c r="H911" s="4" t="s">
        <v>725</v>
      </c>
    </row>
    <row r="912" spans="1:8" hidden="1">
      <c r="A912" s="2" t="s">
        <v>8</v>
      </c>
      <c r="B912" s="2"/>
      <c r="C912" s="2" t="s">
        <v>1058</v>
      </c>
      <c r="D912" s="8">
        <v>45492</v>
      </c>
      <c r="E912" s="8"/>
      <c r="F912" s="8">
        <v>45535</v>
      </c>
      <c r="G912" s="8">
        <v>45507</v>
      </c>
      <c r="H912" s="4" t="s">
        <v>725</v>
      </c>
    </row>
    <row r="913" spans="1:8" hidden="1">
      <c r="A913" s="2" t="s">
        <v>8</v>
      </c>
      <c r="B913" s="2"/>
      <c r="C913" s="2" t="s">
        <v>1058</v>
      </c>
      <c r="D913" s="8">
        <v>45492</v>
      </c>
      <c r="E913" s="8"/>
      <c r="F913" s="8">
        <v>45535</v>
      </c>
      <c r="G913" s="8">
        <v>45507</v>
      </c>
      <c r="H913" s="4" t="s">
        <v>726</v>
      </c>
    </row>
    <row r="914" spans="1:8" hidden="1">
      <c r="A914" s="2" t="s">
        <v>8</v>
      </c>
      <c r="B914" s="2"/>
      <c r="C914" s="2" t="s">
        <v>1058</v>
      </c>
      <c r="D914" s="8">
        <v>45492</v>
      </c>
      <c r="E914" s="8"/>
      <c r="F914" s="8">
        <v>45535</v>
      </c>
      <c r="G914" s="8">
        <v>45507</v>
      </c>
      <c r="H914" s="4" t="s">
        <v>727</v>
      </c>
    </row>
    <row r="915" spans="1:8" hidden="1">
      <c r="A915" s="2" t="s">
        <v>8</v>
      </c>
      <c r="B915" s="2"/>
      <c r="C915" s="2" t="s">
        <v>1036</v>
      </c>
      <c r="D915" s="8">
        <v>45540</v>
      </c>
      <c r="E915" s="8"/>
      <c r="F915" s="8">
        <v>45594</v>
      </c>
      <c r="G915" s="8">
        <v>45555</v>
      </c>
      <c r="H915" s="4" t="s">
        <v>728</v>
      </c>
    </row>
    <row r="916" spans="1:8" hidden="1">
      <c r="A916" s="2" t="s">
        <v>8</v>
      </c>
      <c r="B916" s="2"/>
      <c r="C916" s="2" t="s">
        <v>1036</v>
      </c>
      <c r="D916" s="8">
        <v>45540</v>
      </c>
      <c r="E916" s="8"/>
      <c r="F916" s="8">
        <v>45594</v>
      </c>
      <c r="G916" s="8">
        <v>45555</v>
      </c>
      <c r="H916" s="4" t="s">
        <v>729</v>
      </c>
    </row>
    <row r="917" spans="1:8" hidden="1">
      <c r="A917" s="2" t="s">
        <v>8</v>
      </c>
      <c r="B917" s="2"/>
      <c r="C917" s="2" t="s">
        <v>1036</v>
      </c>
      <c r="D917" s="8">
        <v>45540</v>
      </c>
      <c r="E917" s="8"/>
      <c r="F917" s="8">
        <v>45594</v>
      </c>
      <c r="G917" s="8">
        <v>45555</v>
      </c>
      <c r="H917" s="4" t="s">
        <v>730</v>
      </c>
    </row>
    <row r="918" spans="1:8" hidden="1">
      <c r="A918" s="2" t="s">
        <v>8</v>
      </c>
      <c r="B918" s="2"/>
      <c r="C918" s="2" t="s">
        <v>1036</v>
      </c>
      <c r="D918" s="8">
        <v>45540</v>
      </c>
      <c r="E918" s="8"/>
      <c r="F918" s="8">
        <v>45594</v>
      </c>
      <c r="G918" s="8">
        <v>45555</v>
      </c>
      <c r="H918" s="4" t="s">
        <v>731</v>
      </c>
    </row>
    <row r="919" spans="1:8" hidden="1">
      <c r="A919" s="2" t="s">
        <v>8</v>
      </c>
      <c r="B919" s="2"/>
      <c r="C919" s="2" t="s">
        <v>1036</v>
      </c>
      <c r="D919" s="8">
        <v>45540</v>
      </c>
      <c r="E919" s="8"/>
      <c r="F919" s="8">
        <v>45594</v>
      </c>
      <c r="G919" s="8">
        <v>45555</v>
      </c>
      <c r="H919" s="4" t="s">
        <v>732</v>
      </c>
    </row>
    <row r="920" spans="1:8" hidden="1">
      <c r="A920" s="2" t="s">
        <v>8</v>
      </c>
      <c r="B920" s="2"/>
      <c r="C920" s="2" t="s">
        <v>1036</v>
      </c>
      <c r="D920" s="8">
        <v>45540</v>
      </c>
      <c r="E920" s="8"/>
      <c r="F920" s="8">
        <v>45594</v>
      </c>
      <c r="G920" s="8">
        <v>45555</v>
      </c>
      <c r="H920" s="4" t="s">
        <v>733</v>
      </c>
    </row>
    <row r="921" spans="1:8" hidden="1">
      <c r="A921" s="2" t="s">
        <v>8</v>
      </c>
      <c r="B921" s="2"/>
      <c r="C921" s="2" t="s">
        <v>1036</v>
      </c>
      <c r="D921" s="8">
        <v>45540</v>
      </c>
      <c r="E921" s="8"/>
      <c r="F921" s="8">
        <v>45594</v>
      </c>
      <c r="G921" s="8">
        <v>45555</v>
      </c>
      <c r="H921" s="4" t="s">
        <v>734</v>
      </c>
    </row>
    <row r="922" spans="1:8" hidden="1">
      <c r="A922" s="2" t="s">
        <v>8</v>
      </c>
      <c r="B922" s="2"/>
      <c r="C922" s="2" t="s">
        <v>1081</v>
      </c>
      <c r="D922" s="8">
        <v>45537</v>
      </c>
      <c r="E922" s="8"/>
      <c r="F922" s="8">
        <v>45594</v>
      </c>
      <c r="G922" s="8">
        <v>45552</v>
      </c>
      <c r="H922" s="4" t="s">
        <v>735</v>
      </c>
    </row>
    <row r="923" spans="1:8" hidden="1">
      <c r="A923" s="2" t="s">
        <v>8</v>
      </c>
      <c r="B923" s="2"/>
      <c r="C923" s="2" t="s">
        <v>1081</v>
      </c>
      <c r="D923" s="8">
        <v>45537</v>
      </c>
      <c r="E923" s="8"/>
      <c r="F923" s="8">
        <v>45594</v>
      </c>
      <c r="G923" s="8">
        <v>45552</v>
      </c>
      <c r="H923" s="4" t="s">
        <v>735</v>
      </c>
    </row>
    <row r="924" spans="1:8" hidden="1">
      <c r="A924" s="2" t="s">
        <v>8</v>
      </c>
      <c r="B924" s="2"/>
      <c r="C924" s="2" t="s">
        <v>1081</v>
      </c>
      <c r="D924" s="8">
        <v>45537</v>
      </c>
      <c r="E924" s="8"/>
      <c r="F924" s="8">
        <v>45594</v>
      </c>
      <c r="G924" s="8">
        <v>45552</v>
      </c>
      <c r="H924" s="4" t="s">
        <v>735</v>
      </c>
    </row>
    <row r="925" spans="1:8" hidden="1">
      <c r="A925" s="2" t="s">
        <v>8</v>
      </c>
      <c r="B925" s="2"/>
      <c r="C925" s="2" t="s">
        <v>1081</v>
      </c>
      <c r="D925" s="8">
        <v>45537</v>
      </c>
      <c r="E925" s="8"/>
      <c r="F925" s="8">
        <v>45594</v>
      </c>
      <c r="G925" s="8">
        <v>45552</v>
      </c>
      <c r="H925" s="4" t="s">
        <v>736</v>
      </c>
    </row>
    <row r="926" spans="1:8" hidden="1">
      <c r="A926" s="2" t="s">
        <v>8</v>
      </c>
      <c r="B926" s="2"/>
      <c r="C926" s="2" t="s">
        <v>1082</v>
      </c>
      <c r="D926" s="8">
        <v>45577</v>
      </c>
      <c r="E926" s="8"/>
      <c r="F926" s="8">
        <v>45608</v>
      </c>
      <c r="G926" s="8">
        <v>45591</v>
      </c>
      <c r="H926" s="4" t="s">
        <v>737</v>
      </c>
    </row>
    <row r="927" spans="1:8" hidden="1">
      <c r="A927" s="2" t="s">
        <v>8</v>
      </c>
      <c r="B927" s="2"/>
      <c r="C927" s="2" t="s">
        <v>1082</v>
      </c>
      <c r="D927" s="8">
        <v>45577</v>
      </c>
      <c r="E927" s="8"/>
      <c r="F927" s="8">
        <v>45608</v>
      </c>
      <c r="G927" s="8">
        <v>45591</v>
      </c>
      <c r="H927" s="4" t="s">
        <v>737</v>
      </c>
    </row>
    <row r="928" spans="1:8" hidden="1">
      <c r="A928" s="2" t="s">
        <v>8</v>
      </c>
      <c r="B928" s="2"/>
      <c r="C928" s="2" t="s">
        <v>1082</v>
      </c>
      <c r="D928" s="8">
        <v>45577</v>
      </c>
      <c r="E928" s="8"/>
      <c r="F928" s="8">
        <v>45608</v>
      </c>
      <c r="G928" s="8">
        <v>45591</v>
      </c>
      <c r="H928" s="4" t="s">
        <v>737</v>
      </c>
    </row>
    <row r="929" spans="1:8" hidden="1">
      <c r="A929" s="2" t="s">
        <v>8</v>
      </c>
      <c r="B929" s="2"/>
      <c r="C929" s="2" t="s">
        <v>1082</v>
      </c>
      <c r="D929" s="8">
        <v>45577</v>
      </c>
      <c r="E929" s="8"/>
      <c r="F929" s="8">
        <v>45608</v>
      </c>
      <c r="G929" s="8">
        <v>45591</v>
      </c>
      <c r="H929" s="4" t="s">
        <v>738</v>
      </c>
    </row>
    <row r="930" spans="1:8" hidden="1">
      <c r="A930" s="2" t="s">
        <v>8</v>
      </c>
      <c r="B930" s="2"/>
      <c r="C930" s="2" t="s">
        <v>1082</v>
      </c>
      <c r="D930" s="8">
        <v>45577</v>
      </c>
      <c r="E930" s="8"/>
      <c r="F930" s="8">
        <v>45608</v>
      </c>
      <c r="G930" s="8">
        <v>45591</v>
      </c>
      <c r="H930" s="4" t="s">
        <v>739</v>
      </c>
    </row>
    <row r="931" spans="1:8" hidden="1">
      <c r="A931" s="2" t="s">
        <v>8</v>
      </c>
      <c r="B931" s="2"/>
      <c r="C931" s="2" t="s">
        <v>1082</v>
      </c>
      <c r="D931" s="8">
        <v>45577</v>
      </c>
      <c r="E931" s="8"/>
      <c r="F931" s="8">
        <v>45608</v>
      </c>
      <c r="G931" s="8">
        <v>45591</v>
      </c>
      <c r="H931" s="4" t="s">
        <v>739</v>
      </c>
    </row>
    <row r="932" spans="1:8" hidden="1">
      <c r="A932" s="2" t="s">
        <v>8</v>
      </c>
      <c r="B932" s="2"/>
      <c r="C932" s="2" t="s">
        <v>1082</v>
      </c>
      <c r="D932" s="8">
        <v>45577</v>
      </c>
      <c r="E932" s="8"/>
      <c r="F932" s="8">
        <v>45608</v>
      </c>
      <c r="G932" s="8">
        <v>45591</v>
      </c>
      <c r="H932" s="4" t="s">
        <v>739</v>
      </c>
    </row>
    <row r="933" spans="1:8" hidden="1">
      <c r="A933" s="2" t="s">
        <v>8</v>
      </c>
      <c r="B933" s="2"/>
      <c r="C933" s="2" t="s">
        <v>1082</v>
      </c>
      <c r="D933" s="8">
        <v>45577</v>
      </c>
      <c r="E933" s="8"/>
      <c r="F933" s="8">
        <v>45608</v>
      </c>
      <c r="G933" s="8">
        <v>45591</v>
      </c>
      <c r="H933" s="4" t="s">
        <v>740</v>
      </c>
    </row>
    <row r="934" spans="1:8" hidden="1">
      <c r="A934" s="2" t="s">
        <v>6</v>
      </c>
      <c r="B934" s="2"/>
      <c r="C934" s="2" t="s">
        <v>1043</v>
      </c>
      <c r="D934" s="8">
        <v>45560</v>
      </c>
      <c r="E934" s="8"/>
      <c r="F934" s="8">
        <v>45587</v>
      </c>
      <c r="G934" s="8">
        <v>45575</v>
      </c>
      <c r="H934" s="4" t="s">
        <v>741</v>
      </c>
    </row>
    <row r="935" spans="1:8" hidden="1">
      <c r="A935" s="2" t="s">
        <v>5</v>
      </c>
      <c r="B935" s="2"/>
      <c r="C935" s="2" t="s">
        <v>1083</v>
      </c>
      <c r="D935" s="8">
        <v>45588</v>
      </c>
      <c r="E935" s="8"/>
      <c r="F935" s="8">
        <v>45615</v>
      </c>
      <c r="G935" s="8">
        <v>45603</v>
      </c>
      <c r="H935" s="4" t="s">
        <v>742</v>
      </c>
    </row>
    <row r="936" spans="1:8" hidden="1">
      <c r="A936" s="2" t="s">
        <v>5</v>
      </c>
      <c r="B936" s="2"/>
      <c r="C936" s="2" t="s">
        <v>1083</v>
      </c>
      <c r="D936" s="8">
        <v>45588</v>
      </c>
      <c r="E936" s="8"/>
      <c r="F936" s="8">
        <v>45615</v>
      </c>
      <c r="G936" s="8">
        <v>45603</v>
      </c>
      <c r="H936" s="4" t="s">
        <v>743</v>
      </c>
    </row>
    <row r="937" spans="1:8" hidden="1">
      <c r="A937" s="2" t="s">
        <v>6</v>
      </c>
      <c r="B937" s="2"/>
      <c r="C937" s="2" t="s">
        <v>1043</v>
      </c>
      <c r="D937" s="8">
        <v>45566</v>
      </c>
      <c r="E937" s="8"/>
      <c r="F937" s="8">
        <v>45625</v>
      </c>
      <c r="G937" s="8">
        <v>45581</v>
      </c>
      <c r="H937" s="4" t="s">
        <v>744</v>
      </c>
    </row>
    <row r="938" spans="1:8" hidden="1">
      <c r="A938" s="2" t="s">
        <v>6</v>
      </c>
      <c r="B938" s="2"/>
      <c r="C938" s="2" t="s">
        <v>1043</v>
      </c>
      <c r="D938" s="8">
        <v>45566</v>
      </c>
      <c r="E938" s="8"/>
      <c r="F938" s="8">
        <v>45625</v>
      </c>
      <c r="G938" s="8">
        <v>45581</v>
      </c>
      <c r="H938" s="4" t="s">
        <v>745</v>
      </c>
    </row>
    <row r="939" spans="1:8" hidden="1">
      <c r="A939" s="2" t="s">
        <v>6</v>
      </c>
      <c r="B939" s="2"/>
      <c r="C939" s="2" t="s">
        <v>1043</v>
      </c>
      <c r="D939" s="8">
        <v>45566</v>
      </c>
      <c r="E939" s="8"/>
      <c r="F939" s="8">
        <v>45625</v>
      </c>
      <c r="G939" s="8">
        <v>45581</v>
      </c>
      <c r="H939" s="4" t="s">
        <v>746</v>
      </c>
    </row>
    <row r="940" spans="1:8" hidden="1">
      <c r="A940" s="2" t="s">
        <v>6</v>
      </c>
      <c r="B940" s="2"/>
      <c r="C940" s="2" t="s">
        <v>1043</v>
      </c>
      <c r="D940" s="8">
        <v>45566</v>
      </c>
      <c r="E940" s="8"/>
      <c r="F940" s="8">
        <v>45625</v>
      </c>
      <c r="G940" s="8">
        <v>45581</v>
      </c>
      <c r="H940" s="4" t="s">
        <v>746</v>
      </c>
    </row>
    <row r="941" spans="1:8" hidden="1">
      <c r="A941" s="2" t="s">
        <v>5</v>
      </c>
      <c r="B941" s="2"/>
      <c r="C941" s="2" t="s">
        <v>1084</v>
      </c>
      <c r="D941" s="8">
        <v>45560</v>
      </c>
      <c r="E941" s="8"/>
      <c r="F941" s="8">
        <v>45593</v>
      </c>
      <c r="G941" s="8">
        <v>45575</v>
      </c>
      <c r="H941" s="4" t="s">
        <v>747</v>
      </c>
    </row>
    <row r="942" spans="1:8" hidden="1">
      <c r="A942" s="2" t="s">
        <v>5</v>
      </c>
      <c r="B942" s="2"/>
      <c r="C942" s="2" t="s">
        <v>1084</v>
      </c>
      <c r="D942" s="8">
        <v>45560</v>
      </c>
      <c r="E942" s="8"/>
      <c r="F942" s="8">
        <v>45593</v>
      </c>
      <c r="G942" s="8">
        <v>45575</v>
      </c>
      <c r="H942" s="4" t="s">
        <v>748</v>
      </c>
    </row>
    <row r="943" spans="1:8" hidden="1">
      <c r="A943" s="2" t="s">
        <v>5</v>
      </c>
      <c r="B943" s="2"/>
      <c r="C943" s="2" t="s">
        <v>1084</v>
      </c>
      <c r="D943" s="8">
        <v>45560</v>
      </c>
      <c r="E943" s="8"/>
      <c r="F943" s="8">
        <v>45593</v>
      </c>
      <c r="G943" s="8">
        <v>45575</v>
      </c>
      <c r="H943" s="4" t="s">
        <v>749</v>
      </c>
    </row>
    <row r="944" spans="1:8" hidden="1">
      <c r="A944" s="2" t="s">
        <v>5</v>
      </c>
      <c r="B944" s="2"/>
      <c r="C944" s="2" t="s">
        <v>1084</v>
      </c>
      <c r="D944" s="8">
        <v>45560</v>
      </c>
      <c r="E944" s="8"/>
      <c r="F944" s="8">
        <v>45593</v>
      </c>
      <c r="G944" s="8">
        <v>45575</v>
      </c>
      <c r="H944" s="4" t="s">
        <v>750</v>
      </c>
    </row>
    <row r="945" spans="1:8" hidden="1">
      <c r="A945" s="2" t="s">
        <v>5</v>
      </c>
      <c r="B945" s="2"/>
      <c r="C945" s="2" t="s">
        <v>1084</v>
      </c>
      <c r="D945" s="8">
        <v>45560</v>
      </c>
      <c r="E945" s="8"/>
      <c r="F945" s="8">
        <v>45593</v>
      </c>
      <c r="G945" s="8">
        <v>45575</v>
      </c>
      <c r="H945" s="4" t="s">
        <v>751</v>
      </c>
    </row>
    <row r="946" spans="1:8" hidden="1">
      <c r="A946" s="2" t="s">
        <v>5</v>
      </c>
      <c r="B946" s="2"/>
      <c r="C946" s="2" t="s">
        <v>1084</v>
      </c>
      <c r="D946" s="8">
        <v>45560</v>
      </c>
      <c r="E946" s="8"/>
      <c r="F946" s="8">
        <v>45593</v>
      </c>
      <c r="G946" s="8">
        <v>45575</v>
      </c>
      <c r="H946" s="4" t="s">
        <v>752</v>
      </c>
    </row>
    <row r="947" spans="1:8" hidden="1">
      <c r="A947" s="2" t="s">
        <v>5</v>
      </c>
      <c r="B947" s="2"/>
      <c r="C947" s="2" t="s">
        <v>1085</v>
      </c>
      <c r="D947" s="8">
        <v>45559</v>
      </c>
      <c r="E947" s="8"/>
      <c r="F947" s="8">
        <v>45593</v>
      </c>
      <c r="G947" s="8">
        <v>45574</v>
      </c>
      <c r="H947" s="4" t="s">
        <v>753</v>
      </c>
    </row>
    <row r="948" spans="1:8" hidden="1">
      <c r="A948" s="2" t="s">
        <v>5</v>
      </c>
      <c r="B948" s="2"/>
      <c r="C948" s="2" t="s">
        <v>1085</v>
      </c>
      <c r="D948" s="8">
        <v>45559</v>
      </c>
      <c r="E948" s="8"/>
      <c r="F948" s="8">
        <v>45593</v>
      </c>
      <c r="G948" s="8">
        <v>45574</v>
      </c>
      <c r="H948" s="4" t="s">
        <v>754</v>
      </c>
    </row>
    <row r="949" spans="1:8" hidden="1">
      <c r="A949" s="2" t="s">
        <v>6</v>
      </c>
      <c r="B949" s="2"/>
      <c r="C949" s="2" t="s">
        <v>1043</v>
      </c>
      <c r="D949" s="8">
        <v>45566</v>
      </c>
      <c r="E949" s="8"/>
      <c r="F949" s="8">
        <v>45593</v>
      </c>
      <c r="G949" s="8">
        <v>45581</v>
      </c>
      <c r="H949" s="4" t="s">
        <v>755</v>
      </c>
    </row>
    <row r="950" spans="1:8" hidden="1">
      <c r="A950" s="2" t="s">
        <v>6</v>
      </c>
      <c r="B950" s="2"/>
      <c r="C950" s="2" t="s">
        <v>1027</v>
      </c>
      <c r="D950" s="8">
        <v>45574</v>
      </c>
      <c r="E950" s="8"/>
      <c r="F950" s="8">
        <v>45616</v>
      </c>
      <c r="G950" s="8">
        <v>45589</v>
      </c>
      <c r="H950" s="4" t="s">
        <v>756</v>
      </c>
    </row>
    <row r="951" spans="1:8" hidden="1">
      <c r="A951" s="2" t="s">
        <v>6</v>
      </c>
      <c r="B951" s="2"/>
      <c r="C951" s="2" t="s">
        <v>1027</v>
      </c>
      <c r="D951" s="8">
        <v>45574</v>
      </c>
      <c r="E951" s="8"/>
      <c r="F951" s="8">
        <v>45616</v>
      </c>
      <c r="G951" s="8">
        <v>45589</v>
      </c>
      <c r="H951" s="4" t="s">
        <v>757</v>
      </c>
    </row>
    <row r="952" spans="1:8" hidden="1">
      <c r="A952" s="2" t="s">
        <v>6</v>
      </c>
      <c r="B952" s="2"/>
      <c r="C952" s="2" t="s">
        <v>1027</v>
      </c>
      <c r="D952" s="8">
        <v>45574</v>
      </c>
      <c r="E952" s="8"/>
      <c r="F952" s="8">
        <v>45616</v>
      </c>
      <c r="G952" s="8">
        <v>45589</v>
      </c>
      <c r="H952" s="4" t="s">
        <v>758</v>
      </c>
    </row>
    <row r="953" spans="1:8" hidden="1">
      <c r="A953" s="2" t="s">
        <v>5</v>
      </c>
      <c r="B953" s="2"/>
      <c r="C953" s="2" t="s">
        <v>1086</v>
      </c>
      <c r="D953" s="8">
        <v>45571</v>
      </c>
      <c r="E953" s="8"/>
      <c r="F953" s="8">
        <v>45585</v>
      </c>
      <c r="G953" s="8">
        <v>45584</v>
      </c>
      <c r="H953" s="4" t="s">
        <v>759</v>
      </c>
    </row>
    <row r="954" spans="1:8" hidden="1">
      <c r="A954" s="2" t="s">
        <v>5</v>
      </c>
      <c r="B954" s="2"/>
      <c r="C954" s="2" t="s">
        <v>1087</v>
      </c>
      <c r="D954" s="8">
        <v>45571</v>
      </c>
      <c r="E954" s="8"/>
      <c r="F954" s="8">
        <v>45585</v>
      </c>
      <c r="G954" s="8">
        <v>45584</v>
      </c>
      <c r="H954" s="4" t="s">
        <v>760</v>
      </c>
    </row>
    <row r="955" spans="1:8" hidden="1">
      <c r="A955" s="2" t="s">
        <v>8</v>
      </c>
      <c r="B955" s="2"/>
      <c r="C955" s="2" t="s">
        <v>1036</v>
      </c>
      <c r="D955" s="8">
        <v>45540</v>
      </c>
      <c r="E955" s="8"/>
      <c r="F955" s="8">
        <v>45594</v>
      </c>
      <c r="G955" s="8">
        <v>45555</v>
      </c>
      <c r="H955" s="4" t="s">
        <v>761</v>
      </c>
    </row>
    <row r="956" spans="1:8" hidden="1">
      <c r="A956" s="2" t="s">
        <v>8</v>
      </c>
      <c r="B956" s="2"/>
      <c r="C956" s="2" t="s">
        <v>1081</v>
      </c>
      <c r="D956" s="8">
        <v>45560</v>
      </c>
      <c r="E956" s="8"/>
      <c r="F956" s="8">
        <v>45618</v>
      </c>
      <c r="G956" s="8">
        <v>45575</v>
      </c>
      <c r="H956" s="4" t="s">
        <v>762</v>
      </c>
    </row>
    <row r="957" spans="1:8" hidden="1">
      <c r="A957" s="2" t="s">
        <v>8</v>
      </c>
      <c r="B957" s="2"/>
      <c r="C957" s="2" t="s">
        <v>1081</v>
      </c>
      <c r="D957" s="8">
        <v>45560</v>
      </c>
      <c r="E957" s="8"/>
      <c r="F957" s="8">
        <v>45618</v>
      </c>
      <c r="G957" s="8">
        <v>45575</v>
      </c>
      <c r="H957" s="4" t="s">
        <v>762</v>
      </c>
    </row>
    <row r="958" spans="1:8" hidden="1">
      <c r="A958" s="2" t="s">
        <v>8</v>
      </c>
      <c r="B958" s="2"/>
      <c r="C958" s="2" t="s">
        <v>1081</v>
      </c>
      <c r="D958" s="8">
        <v>45560</v>
      </c>
      <c r="E958" s="8"/>
      <c r="F958" s="8">
        <v>45618</v>
      </c>
      <c r="G958" s="8">
        <v>45575</v>
      </c>
      <c r="H958" s="4" t="s">
        <v>762</v>
      </c>
    </row>
    <row r="959" spans="1:8" hidden="1">
      <c r="A959" s="2" t="s">
        <v>8</v>
      </c>
      <c r="B959" s="2"/>
      <c r="C959" s="2" t="s">
        <v>1081</v>
      </c>
      <c r="D959" s="8">
        <v>45560</v>
      </c>
      <c r="E959" s="8"/>
      <c r="F959" s="8">
        <v>45618</v>
      </c>
      <c r="G959" s="8">
        <v>45575</v>
      </c>
      <c r="H959" s="4" t="s">
        <v>763</v>
      </c>
    </row>
    <row r="960" spans="1:8" hidden="1">
      <c r="A960" s="2" t="s">
        <v>8</v>
      </c>
      <c r="B960" s="2"/>
      <c r="C960" s="2" t="s">
        <v>1081</v>
      </c>
      <c r="D960" s="8">
        <v>45560</v>
      </c>
      <c r="E960" s="8"/>
      <c r="F960" s="8">
        <v>45618</v>
      </c>
      <c r="G960" s="8">
        <v>45575</v>
      </c>
      <c r="H960" s="4" t="s">
        <v>764</v>
      </c>
    </row>
    <row r="961" spans="1:8" hidden="1">
      <c r="A961" s="2" t="s">
        <v>8</v>
      </c>
      <c r="B961" s="2"/>
      <c r="C961" s="2" t="s">
        <v>1081</v>
      </c>
      <c r="D961" s="8">
        <v>45560</v>
      </c>
      <c r="E961" s="8"/>
      <c r="F961" s="8">
        <v>45618</v>
      </c>
      <c r="G961" s="8">
        <v>45575</v>
      </c>
      <c r="H961" s="4" t="s">
        <v>762</v>
      </c>
    </row>
    <row r="962" spans="1:8" hidden="1">
      <c r="A962" s="2" t="s">
        <v>8</v>
      </c>
      <c r="B962" s="2"/>
      <c r="C962" s="2" t="s">
        <v>1036</v>
      </c>
      <c r="D962" s="8">
        <v>45540</v>
      </c>
      <c r="E962" s="8"/>
      <c r="F962" s="8">
        <v>45594</v>
      </c>
      <c r="G962" s="8">
        <v>45555</v>
      </c>
      <c r="H962" s="4" t="s">
        <v>765</v>
      </c>
    </row>
    <row r="963" spans="1:8" hidden="1">
      <c r="A963" s="2" t="s">
        <v>6</v>
      </c>
      <c r="B963" s="2"/>
      <c r="C963" s="2" t="s">
        <v>1088</v>
      </c>
      <c r="D963" s="8">
        <v>45574</v>
      </c>
      <c r="E963" s="8"/>
      <c r="F963" s="8">
        <v>45616</v>
      </c>
      <c r="G963" s="8">
        <v>45589</v>
      </c>
      <c r="H963" s="4" t="s">
        <v>766</v>
      </c>
    </row>
    <row r="964" spans="1:8" hidden="1">
      <c r="A964" s="2" t="s">
        <v>8</v>
      </c>
      <c r="B964" s="2"/>
      <c r="C964" s="2" t="s">
        <v>1089</v>
      </c>
      <c r="D964" s="8">
        <v>45573</v>
      </c>
      <c r="E964" s="8"/>
      <c r="F964" s="8">
        <v>45587</v>
      </c>
      <c r="G964" s="8">
        <v>45588</v>
      </c>
      <c r="H964" s="4" t="s">
        <v>767</v>
      </c>
    </row>
    <row r="965" spans="1:8" hidden="1">
      <c r="A965" s="2" t="s">
        <v>8</v>
      </c>
      <c r="B965" s="2"/>
      <c r="C965" s="2" t="s">
        <v>1090</v>
      </c>
      <c r="D965" s="8">
        <v>45573</v>
      </c>
      <c r="E965" s="8"/>
      <c r="F965" s="8">
        <v>45587</v>
      </c>
      <c r="G965" s="8">
        <v>45588</v>
      </c>
      <c r="H965" s="4" t="s">
        <v>768</v>
      </c>
    </row>
    <row r="966" spans="1:8" hidden="1">
      <c r="A966" s="2" t="s">
        <v>6</v>
      </c>
      <c r="B966" s="2"/>
      <c r="C966" s="2" t="s">
        <v>1091</v>
      </c>
      <c r="D966" s="8">
        <v>45574</v>
      </c>
      <c r="E966" s="8"/>
      <c r="F966" s="8">
        <v>45602</v>
      </c>
      <c r="G966" s="8">
        <v>45589</v>
      </c>
      <c r="H966" s="4" t="s">
        <v>769</v>
      </c>
    </row>
    <row r="967" spans="1:8" hidden="1">
      <c r="A967" s="2" t="s">
        <v>8</v>
      </c>
      <c r="B967" s="2"/>
      <c r="C967" s="2" t="s">
        <v>1058</v>
      </c>
      <c r="D967" s="8">
        <v>45579</v>
      </c>
      <c r="E967" s="8"/>
      <c r="F967" s="8">
        <v>45610</v>
      </c>
      <c r="G967" s="8">
        <v>45594</v>
      </c>
      <c r="H967" s="4" t="s">
        <v>770</v>
      </c>
    </row>
    <row r="968" spans="1:8" hidden="1">
      <c r="A968" s="2" t="s">
        <v>8</v>
      </c>
      <c r="B968" s="2"/>
      <c r="C968" s="2" t="s">
        <v>1058</v>
      </c>
      <c r="D968" s="8">
        <v>45579</v>
      </c>
      <c r="E968" s="8"/>
      <c r="F968" s="8">
        <v>45610</v>
      </c>
      <c r="G968" s="8">
        <v>45594</v>
      </c>
      <c r="H968" s="4" t="s">
        <v>771</v>
      </c>
    </row>
    <row r="969" spans="1:8" hidden="1">
      <c r="A969" s="2" t="s">
        <v>8</v>
      </c>
      <c r="B969" s="2"/>
      <c r="C969" s="2" t="s">
        <v>1058</v>
      </c>
      <c r="D969" s="8">
        <v>45579</v>
      </c>
      <c r="E969" s="8"/>
      <c r="F969" s="8">
        <v>45610</v>
      </c>
      <c r="G969" s="8">
        <v>45594</v>
      </c>
      <c r="H969" s="4" t="s">
        <v>771</v>
      </c>
    </row>
    <row r="970" spans="1:8" hidden="1">
      <c r="A970" s="2" t="s">
        <v>8</v>
      </c>
      <c r="B970" s="2"/>
      <c r="C970" s="2" t="s">
        <v>1058</v>
      </c>
      <c r="D970" s="8">
        <v>45579</v>
      </c>
      <c r="E970" s="8"/>
      <c r="F970" s="8">
        <v>45610</v>
      </c>
      <c r="G970" s="8">
        <v>45594</v>
      </c>
      <c r="H970" s="4" t="s">
        <v>771</v>
      </c>
    </row>
    <row r="971" spans="1:8" hidden="1">
      <c r="A971" s="2" t="s">
        <v>8</v>
      </c>
      <c r="B971" s="2"/>
      <c r="C971" s="2" t="s">
        <v>1064</v>
      </c>
      <c r="D971" s="8">
        <v>45579</v>
      </c>
      <c r="E971" s="8"/>
      <c r="F971" s="8">
        <v>45612</v>
      </c>
      <c r="G971" s="8">
        <v>45594</v>
      </c>
      <c r="H971" s="4" t="s">
        <v>772</v>
      </c>
    </row>
    <row r="972" spans="1:8" hidden="1">
      <c r="A972" s="2" t="s">
        <v>8</v>
      </c>
      <c r="B972" s="2"/>
      <c r="C972" s="2" t="s">
        <v>1064</v>
      </c>
      <c r="D972" s="8">
        <v>45579</v>
      </c>
      <c r="E972" s="8"/>
      <c r="F972" s="8">
        <v>45612</v>
      </c>
      <c r="G972" s="8">
        <v>45594</v>
      </c>
      <c r="H972" s="4" t="s">
        <v>773</v>
      </c>
    </row>
    <row r="973" spans="1:8" hidden="1">
      <c r="A973" s="2" t="s">
        <v>8</v>
      </c>
      <c r="B973" s="2"/>
      <c r="C973" s="2" t="s">
        <v>1064</v>
      </c>
      <c r="D973" s="8">
        <v>45579</v>
      </c>
      <c r="E973" s="8"/>
      <c r="F973" s="8">
        <v>45612</v>
      </c>
      <c r="G973" s="8">
        <v>45594</v>
      </c>
      <c r="H973" s="4" t="s">
        <v>774</v>
      </c>
    </row>
    <row r="974" spans="1:8" hidden="1">
      <c r="A974" s="2" t="s">
        <v>8</v>
      </c>
      <c r="B974" s="2"/>
      <c r="C974" s="2" t="s">
        <v>1064</v>
      </c>
      <c r="D974" s="8">
        <v>45579</v>
      </c>
      <c r="E974" s="8"/>
      <c r="F974" s="8">
        <v>45612</v>
      </c>
      <c r="G974" s="8">
        <v>45594</v>
      </c>
      <c r="H974" s="4" t="s">
        <v>774</v>
      </c>
    </row>
    <row r="975" spans="1:8" hidden="1">
      <c r="A975" s="2" t="s">
        <v>8</v>
      </c>
      <c r="B975" s="2"/>
      <c r="C975" s="2" t="s">
        <v>1064</v>
      </c>
      <c r="D975" s="8">
        <v>45579</v>
      </c>
      <c r="E975" s="8"/>
      <c r="F975" s="8">
        <v>45612</v>
      </c>
      <c r="G975" s="8">
        <v>45594</v>
      </c>
      <c r="H975" s="4" t="s">
        <v>774</v>
      </c>
    </row>
    <row r="976" spans="1:8" hidden="1">
      <c r="A976" s="2" t="s">
        <v>8</v>
      </c>
      <c r="B976" s="2"/>
      <c r="C976" s="2" t="s">
        <v>1064</v>
      </c>
      <c r="D976" s="8">
        <v>45579</v>
      </c>
      <c r="E976" s="8"/>
      <c r="F976" s="8">
        <v>45612</v>
      </c>
      <c r="G976" s="8">
        <v>45594</v>
      </c>
      <c r="H976" s="4" t="s">
        <v>775</v>
      </c>
    </row>
    <row r="977" spans="1:8" hidden="1">
      <c r="A977" s="2" t="s">
        <v>8</v>
      </c>
      <c r="B977" s="2"/>
      <c r="C977" s="2" t="s">
        <v>1064</v>
      </c>
      <c r="D977" s="8">
        <v>45579</v>
      </c>
      <c r="E977" s="8"/>
      <c r="F977" s="8">
        <v>45612</v>
      </c>
      <c r="G977" s="8">
        <v>45594</v>
      </c>
      <c r="H977" s="4" t="s">
        <v>776</v>
      </c>
    </row>
    <row r="978" spans="1:8" hidden="1">
      <c r="A978" s="2" t="s">
        <v>8</v>
      </c>
      <c r="B978" s="2"/>
      <c r="C978" s="2" t="s">
        <v>1064</v>
      </c>
      <c r="D978" s="8">
        <v>45579</v>
      </c>
      <c r="E978" s="8"/>
      <c r="F978" s="8">
        <v>45612</v>
      </c>
      <c r="G978" s="8">
        <v>45594</v>
      </c>
      <c r="H978" s="4" t="s">
        <v>777</v>
      </c>
    </row>
    <row r="979" spans="1:8" hidden="1">
      <c r="A979" s="2" t="s">
        <v>5</v>
      </c>
      <c r="B979" s="2"/>
      <c r="C979" s="2" t="s">
        <v>1092</v>
      </c>
      <c r="D979" s="8">
        <v>45594</v>
      </c>
      <c r="E979" s="8"/>
      <c r="F979" s="8">
        <v>45621</v>
      </c>
      <c r="G979" s="8">
        <v>45609</v>
      </c>
      <c r="H979" s="4" t="s">
        <v>778</v>
      </c>
    </row>
    <row r="980" spans="1:8" hidden="1">
      <c r="A980" s="2" t="s">
        <v>6</v>
      </c>
      <c r="B980" s="2"/>
      <c r="C980" s="2" t="s">
        <v>1093</v>
      </c>
      <c r="D980" s="8">
        <v>45574</v>
      </c>
      <c r="E980" s="8"/>
      <c r="F980" s="8">
        <v>45616</v>
      </c>
      <c r="G980" s="8">
        <v>45589</v>
      </c>
      <c r="H980" s="4" t="s">
        <v>779</v>
      </c>
    </row>
    <row r="981" spans="1:8" hidden="1">
      <c r="A981" s="2" t="s">
        <v>6</v>
      </c>
      <c r="B981" s="2"/>
      <c r="C981" s="2" t="s">
        <v>1027</v>
      </c>
      <c r="D981" s="8">
        <v>45574</v>
      </c>
      <c r="E981" s="8"/>
      <c r="F981" s="8">
        <v>45616</v>
      </c>
      <c r="G981" s="8">
        <v>45589</v>
      </c>
      <c r="H981" s="4" t="s">
        <v>780</v>
      </c>
    </row>
    <row r="982" spans="1:8" hidden="1">
      <c r="A982" s="2" t="s">
        <v>6</v>
      </c>
      <c r="B982" s="2"/>
      <c r="C982" s="2" t="s">
        <v>1027</v>
      </c>
      <c r="D982" s="8">
        <v>45574</v>
      </c>
      <c r="E982" s="8"/>
      <c r="F982" s="8">
        <v>45616</v>
      </c>
      <c r="G982" s="8">
        <v>45589</v>
      </c>
      <c r="H982" s="4" t="s">
        <v>781</v>
      </c>
    </row>
    <row r="983" spans="1:8" hidden="1">
      <c r="A983" s="2" t="s">
        <v>5</v>
      </c>
      <c r="B983" s="2"/>
      <c r="C983" s="2" t="s">
        <v>1092</v>
      </c>
      <c r="D983" s="8">
        <v>45617</v>
      </c>
      <c r="E983" s="8"/>
      <c r="F983" s="8">
        <v>45630</v>
      </c>
      <c r="G983" s="8">
        <v>45632</v>
      </c>
      <c r="H983" s="4" t="s">
        <v>782</v>
      </c>
    </row>
    <row r="984" spans="1:8" hidden="1">
      <c r="A984" s="2" t="s">
        <v>5</v>
      </c>
      <c r="B984" s="2"/>
      <c r="C984" s="2" t="s">
        <v>1092</v>
      </c>
      <c r="D984" s="8">
        <v>45617</v>
      </c>
      <c r="E984" s="8"/>
      <c r="F984" s="8">
        <v>45630</v>
      </c>
      <c r="G984" s="8">
        <v>45632</v>
      </c>
      <c r="H984" s="4" t="s">
        <v>783</v>
      </c>
    </row>
    <row r="985" spans="1:8" hidden="1">
      <c r="A985" s="2" t="s">
        <v>5</v>
      </c>
      <c r="B985" s="2"/>
      <c r="C985" s="2" t="s">
        <v>1092</v>
      </c>
      <c r="D985" s="8">
        <v>45617</v>
      </c>
      <c r="E985" s="8"/>
      <c r="F985" s="8">
        <v>45630</v>
      </c>
      <c r="G985" s="8">
        <v>45632</v>
      </c>
      <c r="H985" s="4" t="s">
        <v>784</v>
      </c>
    </row>
    <row r="986" spans="1:8" hidden="1">
      <c r="A986" s="2" t="s">
        <v>5</v>
      </c>
      <c r="B986" s="2"/>
      <c r="C986" s="2" t="s">
        <v>1094</v>
      </c>
      <c r="D986" s="8">
        <v>45616</v>
      </c>
      <c r="E986" s="8"/>
      <c r="F986" s="8">
        <v>45641</v>
      </c>
      <c r="G986" s="8">
        <v>45631</v>
      </c>
      <c r="H986" s="4" t="s">
        <v>785</v>
      </c>
    </row>
    <row r="987" spans="1:8" hidden="1">
      <c r="A987" s="2" t="s">
        <v>5</v>
      </c>
      <c r="B987" s="2"/>
      <c r="C987" s="2" t="s">
        <v>1094</v>
      </c>
      <c r="D987" s="8">
        <v>45616</v>
      </c>
      <c r="E987" s="8"/>
      <c r="F987" s="8">
        <v>45641</v>
      </c>
      <c r="G987" s="8">
        <v>45631</v>
      </c>
      <c r="H987" s="4" t="s">
        <v>786</v>
      </c>
    </row>
    <row r="988" spans="1:8" hidden="1">
      <c r="A988" s="2" t="s">
        <v>5</v>
      </c>
      <c r="B988" s="2"/>
      <c r="C988" s="2" t="s">
        <v>1095</v>
      </c>
      <c r="D988" s="8">
        <v>45607</v>
      </c>
      <c r="E988" s="8"/>
      <c r="F988" s="8">
        <v>45641</v>
      </c>
      <c r="G988" s="8">
        <v>45622</v>
      </c>
      <c r="H988" s="4" t="s">
        <v>787</v>
      </c>
    </row>
    <row r="989" spans="1:8" hidden="1">
      <c r="A989" s="2" t="s">
        <v>5</v>
      </c>
      <c r="B989" s="2"/>
      <c r="C989" s="2" t="s">
        <v>1095</v>
      </c>
      <c r="D989" s="8">
        <v>45607</v>
      </c>
      <c r="E989" s="8"/>
      <c r="F989" s="8">
        <v>45641</v>
      </c>
      <c r="G989" s="8">
        <v>45622</v>
      </c>
      <c r="H989" s="4" t="s">
        <v>788</v>
      </c>
    </row>
    <row r="990" spans="1:8" hidden="1">
      <c r="A990" s="2" t="s">
        <v>5</v>
      </c>
      <c r="B990" s="2"/>
      <c r="C990" s="2" t="s">
        <v>1095</v>
      </c>
      <c r="D990" s="8">
        <v>45607</v>
      </c>
      <c r="E990" s="8"/>
      <c r="F990" s="8">
        <v>45641</v>
      </c>
      <c r="G990" s="8">
        <v>45622</v>
      </c>
      <c r="H990" s="4" t="s">
        <v>789</v>
      </c>
    </row>
    <row r="991" spans="1:8" hidden="1">
      <c r="A991" s="2" t="s">
        <v>5</v>
      </c>
      <c r="B991" s="2"/>
      <c r="C991" s="2" t="s">
        <v>1095</v>
      </c>
      <c r="D991" s="8">
        <v>45607</v>
      </c>
      <c r="E991" s="8"/>
      <c r="F991" s="8">
        <v>45641</v>
      </c>
      <c r="G991" s="8">
        <v>45622</v>
      </c>
      <c r="H991" s="4" t="s">
        <v>790</v>
      </c>
    </row>
    <row r="992" spans="1:8" hidden="1">
      <c r="A992" s="2" t="s">
        <v>5</v>
      </c>
      <c r="B992" s="2"/>
      <c r="C992" s="2" t="s">
        <v>1095</v>
      </c>
      <c r="D992" s="8">
        <v>45607</v>
      </c>
      <c r="E992" s="8"/>
      <c r="F992" s="8">
        <v>45641</v>
      </c>
      <c r="G992" s="8">
        <v>45622</v>
      </c>
      <c r="H992" s="4" t="s">
        <v>791</v>
      </c>
    </row>
    <row r="993" spans="1:8" hidden="1">
      <c r="A993" s="2" t="s">
        <v>5</v>
      </c>
      <c r="B993" s="2"/>
      <c r="C993" s="2" t="s">
        <v>1095</v>
      </c>
      <c r="D993" s="8">
        <v>45607</v>
      </c>
      <c r="E993" s="8"/>
      <c r="F993" s="8">
        <v>45641</v>
      </c>
      <c r="G993" s="8">
        <v>45622</v>
      </c>
      <c r="H993" s="4" t="s">
        <v>792</v>
      </c>
    </row>
    <row r="994" spans="1:8" hidden="1">
      <c r="A994" s="2" t="s">
        <v>5</v>
      </c>
      <c r="B994" s="2"/>
      <c r="C994" s="2" t="s">
        <v>1095</v>
      </c>
      <c r="D994" s="8">
        <v>45607</v>
      </c>
      <c r="E994" s="8"/>
      <c r="F994" s="8">
        <v>45641</v>
      </c>
      <c r="G994" s="8">
        <v>45622</v>
      </c>
      <c r="H994" s="4" t="s">
        <v>793</v>
      </c>
    </row>
    <row r="995" spans="1:8" hidden="1">
      <c r="A995" s="2" t="s">
        <v>5</v>
      </c>
      <c r="B995" s="2"/>
      <c r="C995" s="2" t="s">
        <v>1095</v>
      </c>
      <c r="D995" s="8">
        <v>45607</v>
      </c>
      <c r="E995" s="8"/>
      <c r="F995" s="8">
        <v>45641</v>
      </c>
      <c r="G995" s="8">
        <v>45622</v>
      </c>
      <c r="H995" s="4" t="s">
        <v>794</v>
      </c>
    </row>
    <row r="996" spans="1:8" hidden="1">
      <c r="A996" s="2" t="s">
        <v>5</v>
      </c>
      <c r="B996" s="2"/>
      <c r="C996" s="2" t="s">
        <v>1039</v>
      </c>
      <c r="D996" s="8">
        <v>45616</v>
      </c>
      <c r="E996" s="8"/>
      <c r="F996" s="8">
        <v>45630</v>
      </c>
      <c r="G996" s="8">
        <v>45631</v>
      </c>
      <c r="H996" s="4" t="s">
        <v>795</v>
      </c>
    </row>
    <row r="997" spans="1:8" hidden="1">
      <c r="A997" s="2" t="s">
        <v>5</v>
      </c>
      <c r="B997" s="2"/>
      <c r="C997" s="2" t="s">
        <v>1039</v>
      </c>
      <c r="D997" s="8">
        <v>45617</v>
      </c>
      <c r="E997" s="8"/>
      <c r="F997" s="8">
        <v>45630</v>
      </c>
      <c r="G997" s="8">
        <v>45632</v>
      </c>
      <c r="H997" s="4" t="s">
        <v>796</v>
      </c>
    </row>
    <row r="998" spans="1:8" hidden="1">
      <c r="A998" s="2" t="s">
        <v>5</v>
      </c>
      <c r="B998" s="2"/>
      <c r="C998" s="2" t="s">
        <v>1039</v>
      </c>
      <c r="D998" s="8">
        <v>45617</v>
      </c>
      <c r="E998" s="8"/>
      <c r="F998" s="8">
        <v>45630</v>
      </c>
      <c r="G998" s="8">
        <v>45632</v>
      </c>
      <c r="H998" s="4" t="s">
        <v>796</v>
      </c>
    </row>
    <row r="999" spans="1:8" hidden="1">
      <c r="A999" s="2" t="s">
        <v>6</v>
      </c>
      <c r="B999" s="2"/>
      <c r="C999" s="2" t="s">
        <v>1096</v>
      </c>
      <c r="D999" s="8">
        <v>45622</v>
      </c>
      <c r="E999" s="8"/>
      <c r="F999" s="8">
        <v>45649</v>
      </c>
      <c r="G999" s="8">
        <v>45637</v>
      </c>
      <c r="H999" s="4" t="s">
        <v>797</v>
      </c>
    </row>
    <row r="1000" spans="1:8" hidden="1">
      <c r="A1000" s="2" t="s">
        <v>6</v>
      </c>
      <c r="B1000" s="2"/>
      <c r="C1000" s="2" t="s">
        <v>1096</v>
      </c>
      <c r="D1000" s="8">
        <v>45617</v>
      </c>
      <c r="E1000" s="8"/>
      <c r="F1000" s="8">
        <v>45663</v>
      </c>
      <c r="G1000" s="8">
        <v>45632</v>
      </c>
      <c r="H1000" s="4" t="s">
        <v>798</v>
      </c>
    </row>
    <row r="1001" spans="1:8" hidden="1">
      <c r="A1001" s="2" t="s">
        <v>6</v>
      </c>
      <c r="B1001" s="2"/>
      <c r="C1001" s="2" t="s">
        <v>1096</v>
      </c>
      <c r="D1001" s="8">
        <v>45617</v>
      </c>
      <c r="E1001" s="8"/>
      <c r="F1001" s="8">
        <v>45663</v>
      </c>
      <c r="G1001" s="8">
        <v>45632</v>
      </c>
      <c r="H1001" s="4" t="s">
        <v>799</v>
      </c>
    </row>
    <row r="1002" spans="1:8" hidden="1">
      <c r="A1002" s="2" t="s">
        <v>6</v>
      </c>
      <c r="B1002" s="2"/>
      <c r="C1002" s="2" t="s">
        <v>1096</v>
      </c>
      <c r="D1002" s="8">
        <v>45617</v>
      </c>
      <c r="E1002" s="8"/>
      <c r="F1002" s="8">
        <v>45663</v>
      </c>
      <c r="G1002" s="8">
        <v>45632</v>
      </c>
      <c r="H1002" s="4" t="s">
        <v>800</v>
      </c>
    </row>
    <row r="1003" spans="1:8" hidden="1">
      <c r="A1003" s="2" t="s">
        <v>8</v>
      </c>
      <c r="B1003" s="2"/>
      <c r="C1003" s="2" t="s">
        <v>1097</v>
      </c>
      <c r="D1003" s="8">
        <v>45617</v>
      </c>
      <c r="E1003" s="8"/>
      <c r="F1003" s="8">
        <v>45678</v>
      </c>
      <c r="G1003" s="8">
        <v>45632</v>
      </c>
      <c r="H1003" s="4" t="s">
        <v>801</v>
      </c>
    </row>
    <row r="1004" spans="1:8" hidden="1">
      <c r="A1004" s="2" t="s">
        <v>8</v>
      </c>
      <c r="B1004" s="2"/>
      <c r="C1004" s="2" t="s">
        <v>1098</v>
      </c>
      <c r="D1004" s="8">
        <v>45617</v>
      </c>
      <c r="E1004" s="8"/>
      <c r="F1004" s="8">
        <v>45663</v>
      </c>
      <c r="G1004" s="8">
        <v>45632</v>
      </c>
      <c r="H1004" s="4" t="s">
        <v>802</v>
      </c>
    </row>
    <row r="1005" spans="1:8" hidden="1">
      <c r="A1005" s="2" t="s">
        <v>8</v>
      </c>
      <c r="B1005" s="2"/>
      <c r="C1005" s="2" t="s">
        <v>1098</v>
      </c>
      <c r="D1005" s="8">
        <v>45617</v>
      </c>
      <c r="E1005" s="8"/>
      <c r="F1005" s="8">
        <v>45663</v>
      </c>
      <c r="G1005" s="8">
        <v>45632</v>
      </c>
      <c r="H1005" s="14" t="s">
        <v>803</v>
      </c>
    </row>
    <row r="1006" spans="1:8" hidden="1">
      <c r="A1006" s="2" t="s">
        <v>6</v>
      </c>
      <c r="B1006" s="2"/>
      <c r="C1006" s="2" t="s">
        <v>1043</v>
      </c>
      <c r="D1006" s="8">
        <v>45627</v>
      </c>
      <c r="E1006" s="8"/>
      <c r="F1006" s="8">
        <v>45645</v>
      </c>
      <c r="G1006" s="8">
        <v>45640</v>
      </c>
      <c r="H1006" s="4" t="s">
        <v>804</v>
      </c>
    </row>
    <row r="1007" spans="1:8" hidden="1">
      <c r="A1007" s="2" t="s">
        <v>6</v>
      </c>
      <c r="B1007" s="2"/>
      <c r="C1007" s="2" t="s">
        <v>1027</v>
      </c>
      <c r="D1007" s="8">
        <v>45645</v>
      </c>
      <c r="E1007" s="8"/>
      <c r="F1007" s="8">
        <v>45322</v>
      </c>
      <c r="G1007" s="8">
        <v>45660</v>
      </c>
      <c r="H1007" s="4" t="s">
        <v>805</v>
      </c>
    </row>
    <row r="1008" spans="1:8" hidden="1">
      <c r="A1008" s="2" t="s">
        <v>6</v>
      </c>
      <c r="B1008" s="2"/>
      <c r="C1008" s="2" t="s">
        <v>1027</v>
      </c>
      <c r="D1008" s="8">
        <v>45645</v>
      </c>
      <c r="E1008" s="8"/>
      <c r="F1008" s="8">
        <v>45322</v>
      </c>
      <c r="G1008" s="8">
        <v>45660</v>
      </c>
      <c r="H1008" s="4" t="s">
        <v>806</v>
      </c>
    </row>
    <row r="1009" spans="1:8" hidden="1">
      <c r="A1009" s="2" t="s">
        <v>8</v>
      </c>
      <c r="B1009" s="2"/>
      <c r="C1009" s="2" t="s">
        <v>1099</v>
      </c>
      <c r="D1009" s="8">
        <v>45660</v>
      </c>
      <c r="E1009" s="8"/>
      <c r="F1009" s="8">
        <v>45691</v>
      </c>
      <c r="G1009" s="8">
        <v>45675</v>
      </c>
      <c r="H1009" s="4" t="s">
        <v>1283</v>
      </c>
    </row>
    <row r="1010" spans="1:8" hidden="1">
      <c r="A1010" s="2" t="s">
        <v>6</v>
      </c>
      <c r="B1010" s="2"/>
      <c r="C1010" s="2" t="s">
        <v>1043</v>
      </c>
      <c r="D1010" s="8">
        <v>45664</v>
      </c>
      <c r="E1010" s="8"/>
      <c r="F1010" s="8">
        <v>45699</v>
      </c>
      <c r="G1010" s="8">
        <v>45679</v>
      </c>
      <c r="H1010" s="4" t="s">
        <v>1284</v>
      </c>
    </row>
    <row r="1011" spans="1:8" hidden="1">
      <c r="A1011" s="2" t="s">
        <v>6</v>
      </c>
      <c r="B1011" s="2"/>
      <c r="C1011" s="2" t="s">
        <v>1100</v>
      </c>
      <c r="D1011" s="8">
        <v>45301</v>
      </c>
      <c r="E1011" s="8"/>
      <c r="F1011" s="8">
        <v>45349</v>
      </c>
      <c r="G1011" s="8">
        <v>45316</v>
      </c>
      <c r="H1011" s="4" t="s">
        <v>1285</v>
      </c>
    </row>
    <row r="1012" spans="1:8" hidden="1">
      <c r="A1012" s="2" t="s">
        <v>6</v>
      </c>
      <c r="B1012" s="2"/>
      <c r="C1012" s="2" t="s">
        <v>1100</v>
      </c>
      <c r="D1012" s="8">
        <v>45301</v>
      </c>
      <c r="E1012" s="8"/>
      <c r="F1012" s="8">
        <v>45349</v>
      </c>
      <c r="G1012" s="8">
        <v>45316</v>
      </c>
      <c r="H1012" s="4" t="s">
        <v>1286</v>
      </c>
    </row>
    <row r="1013" spans="1:8" hidden="1">
      <c r="A1013" s="2" t="s">
        <v>6</v>
      </c>
      <c r="B1013" s="2"/>
      <c r="C1013" s="2" t="s">
        <v>1100</v>
      </c>
      <c r="D1013" s="8">
        <v>45301</v>
      </c>
      <c r="E1013" s="8"/>
      <c r="F1013" s="8">
        <v>45349</v>
      </c>
      <c r="G1013" s="8">
        <v>45316</v>
      </c>
      <c r="H1013" s="4" t="s">
        <v>1287</v>
      </c>
    </row>
    <row r="1014" spans="1:8" hidden="1">
      <c r="A1014" s="2" t="s">
        <v>6</v>
      </c>
      <c r="B1014" s="2"/>
      <c r="C1014" s="2" t="s">
        <v>1100</v>
      </c>
      <c r="D1014" s="8">
        <v>45301</v>
      </c>
      <c r="E1014" s="8"/>
      <c r="F1014" s="8">
        <v>45349</v>
      </c>
      <c r="G1014" s="8">
        <v>45316</v>
      </c>
      <c r="H1014" s="4" t="s">
        <v>1288</v>
      </c>
    </row>
    <row r="1015" spans="1:8" hidden="1">
      <c r="A1015" s="2" t="s">
        <v>6</v>
      </c>
      <c r="B1015" s="2"/>
      <c r="C1015" s="2" t="s">
        <v>1100</v>
      </c>
      <c r="D1015" s="8">
        <v>45301</v>
      </c>
      <c r="E1015" s="8"/>
      <c r="F1015" s="8">
        <v>45349</v>
      </c>
      <c r="G1015" s="8">
        <v>45316</v>
      </c>
      <c r="H1015" s="4" t="s">
        <v>1289</v>
      </c>
    </row>
    <row r="1016" spans="1:8" hidden="1">
      <c r="A1016" s="2" t="s">
        <v>6</v>
      </c>
      <c r="B1016" s="2"/>
      <c r="C1016" s="2" t="s">
        <v>1100</v>
      </c>
      <c r="D1016" s="8">
        <v>45301</v>
      </c>
      <c r="E1016" s="8"/>
      <c r="F1016" s="8">
        <v>45349</v>
      </c>
      <c r="G1016" s="8">
        <v>45316</v>
      </c>
      <c r="H1016" s="4" t="s">
        <v>1290</v>
      </c>
    </row>
    <row r="1017" spans="1:8" hidden="1">
      <c r="A1017" s="2" t="s">
        <v>5</v>
      </c>
      <c r="B1017" s="2"/>
      <c r="C1017" s="2" t="s">
        <v>1101</v>
      </c>
      <c r="D1017" s="8">
        <v>45664</v>
      </c>
      <c r="E1017" s="8"/>
      <c r="F1017" s="8">
        <v>45699</v>
      </c>
      <c r="G1017" s="8">
        <v>45679</v>
      </c>
      <c r="H1017" s="4" t="s">
        <v>1291</v>
      </c>
    </row>
    <row r="1018" spans="1:8" hidden="1">
      <c r="A1018" s="2" t="s">
        <v>5</v>
      </c>
      <c r="B1018" s="2"/>
      <c r="C1018" s="2" t="s">
        <v>1092</v>
      </c>
      <c r="D1018" s="8">
        <v>45664</v>
      </c>
      <c r="E1018" s="8"/>
      <c r="F1018" s="8">
        <v>45699</v>
      </c>
      <c r="G1018" s="8">
        <v>45679</v>
      </c>
      <c r="H1018" s="4" t="s">
        <v>1292</v>
      </c>
    </row>
    <row r="1019" spans="1:8" hidden="1">
      <c r="A1019" s="2" t="s">
        <v>6</v>
      </c>
      <c r="B1019" s="2"/>
      <c r="C1019" s="2" t="s">
        <v>1102</v>
      </c>
      <c r="D1019" s="8">
        <v>45685</v>
      </c>
      <c r="E1019" s="8"/>
      <c r="F1019" s="8">
        <v>45712</v>
      </c>
      <c r="G1019" s="8">
        <v>45700</v>
      </c>
      <c r="H1019" s="4" t="s">
        <v>1293</v>
      </c>
    </row>
    <row r="1020" spans="1:8" hidden="1">
      <c r="A1020" s="2" t="s">
        <v>5</v>
      </c>
      <c r="B1020" s="2"/>
      <c r="C1020" s="2" t="s">
        <v>1103</v>
      </c>
      <c r="D1020" s="8">
        <v>45675</v>
      </c>
      <c r="E1020" s="8"/>
      <c r="F1020" s="8">
        <v>45706</v>
      </c>
      <c r="G1020" s="8">
        <v>45689</v>
      </c>
      <c r="H1020" s="4" t="s">
        <v>1294</v>
      </c>
    </row>
    <row r="1021" spans="1:8" hidden="1">
      <c r="A1021" s="2" t="s">
        <v>5</v>
      </c>
      <c r="B1021" s="2"/>
      <c r="C1021" s="2" t="s">
        <v>1103</v>
      </c>
      <c r="D1021" s="8">
        <v>45685</v>
      </c>
      <c r="E1021" s="8"/>
      <c r="F1021" s="8">
        <v>45698</v>
      </c>
      <c r="G1021" s="8">
        <v>45700</v>
      </c>
      <c r="H1021" s="4" t="s">
        <v>1295</v>
      </c>
    </row>
    <row r="1022" spans="1:8" hidden="1">
      <c r="A1022" s="2" t="s">
        <v>6</v>
      </c>
      <c r="B1022" s="2"/>
      <c r="C1022" s="2" t="s">
        <v>1096</v>
      </c>
      <c r="D1022" s="8">
        <v>45693</v>
      </c>
      <c r="E1022" s="8"/>
      <c r="F1022" s="8">
        <v>45746</v>
      </c>
      <c r="G1022" s="8">
        <v>45708</v>
      </c>
      <c r="H1022" s="4" t="s">
        <v>1296</v>
      </c>
    </row>
    <row r="1023" spans="1:8" hidden="1">
      <c r="A1023" s="2" t="s">
        <v>6</v>
      </c>
      <c r="B1023" s="2"/>
      <c r="C1023" s="2" t="s">
        <v>1096</v>
      </c>
      <c r="D1023" s="8">
        <v>45693</v>
      </c>
      <c r="E1023" s="8"/>
      <c r="F1023" s="8">
        <v>45746</v>
      </c>
      <c r="G1023" s="8">
        <v>45708</v>
      </c>
      <c r="H1023" s="4" t="s">
        <v>1296</v>
      </c>
    </row>
    <row r="1024" spans="1:8" hidden="1">
      <c r="A1024" s="2" t="s">
        <v>6</v>
      </c>
      <c r="B1024" s="2"/>
      <c r="C1024" s="2" t="s">
        <v>1096</v>
      </c>
      <c r="D1024" s="8">
        <v>45685</v>
      </c>
      <c r="E1024" s="8"/>
      <c r="F1024" s="8">
        <v>45740</v>
      </c>
      <c r="G1024" s="8">
        <v>45700</v>
      </c>
      <c r="H1024" s="4" t="s">
        <v>1297</v>
      </c>
    </row>
    <row r="1025" spans="1:8" hidden="1">
      <c r="A1025" s="2" t="s">
        <v>6</v>
      </c>
      <c r="B1025" s="2"/>
      <c r="C1025" s="2" t="s">
        <v>1096</v>
      </c>
      <c r="D1025" s="8">
        <v>45685</v>
      </c>
      <c r="E1025" s="8"/>
      <c r="F1025" s="8">
        <v>45740</v>
      </c>
      <c r="G1025" s="8">
        <v>45700</v>
      </c>
      <c r="H1025" s="4" t="s">
        <v>1298</v>
      </c>
    </row>
    <row r="1026" spans="1:8" hidden="1">
      <c r="A1026" s="2" t="s">
        <v>6</v>
      </c>
      <c r="B1026" s="2"/>
      <c r="C1026" s="2" t="s">
        <v>1096</v>
      </c>
      <c r="D1026" s="8">
        <v>45685</v>
      </c>
      <c r="E1026" s="8"/>
      <c r="F1026" s="8">
        <v>45740</v>
      </c>
      <c r="G1026" s="8">
        <v>45700</v>
      </c>
      <c r="H1026" s="4" t="s">
        <v>1298</v>
      </c>
    </row>
    <row r="1027" spans="1:8" hidden="1">
      <c r="A1027" s="2" t="s">
        <v>6</v>
      </c>
      <c r="B1027" s="2"/>
      <c r="C1027" s="2" t="s">
        <v>1096</v>
      </c>
      <c r="D1027" s="8">
        <v>45685</v>
      </c>
      <c r="E1027" s="8"/>
      <c r="F1027" s="8">
        <v>45740</v>
      </c>
      <c r="G1027" s="8">
        <v>45700</v>
      </c>
      <c r="H1027" s="4" t="s">
        <v>1299</v>
      </c>
    </row>
    <row r="1028" spans="1:8" hidden="1">
      <c r="A1028" s="2" t="s">
        <v>6</v>
      </c>
      <c r="B1028" s="2"/>
      <c r="C1028" s="2" t="s">
        <v>1096</v>
      </c>
      <c r="D1028" s="8">
        <v>45700</v>
      </c>
      <c r="E1028" s="8"/>
      <c r="F1028" s="8">
        <v>45714</v>
      </c>
      <c r="G1028" s="8">
        <v>45715</v>
      </c>
      <c r="H1028" s="4" t="s">
        <v>1300</v>
      </c>
    </row>
    <row r="1029" spans="1:8" hidden="1">
      <c r="A1029" s="2" t="s">
        <v>6</v>
      </c>
      <c r="B1029" s="2"/>
      <c r="C1029" s="2" t="s">
        <v>1096</v>
      </c>
      <c r="D1029" s="8">
        <v>45700</v>
      </c>
      <c r="E1029" s="8"/>
      <c r="F1029" s="8">
        <v>45714</v>
      </c>
      <c r="G1029" s="8">
        <v>45715</v>
      </c>
      <c r="H1029" s="4" t="s">
        <v>1301</v>
      </c>
    </row>
    <row r="1030" spans="1:8" hidden="1">
      <c r="A1030" s="2" t="s">
        <v>6</v>
      </c>
      <c r="B1030" s="2"/>
      <c r="C1030" s="2" t="s">
        <v>1096</v>
      </c>
      <c r="D1030" s="8">
        <v>45700</v>
      </c>
      <c r="E1030" s="8"/>
      <c r="F1030" s="8">
        <v>45714</v>
      </c>
      <c r="G1030" s="8">
        <v>45715</v>
      </c>
      <c r="H1030" s="4" t="s">
        <v>1301</v>
      </c>
    </row>
    <row r="1031" spans="1:8" hidden="1">
      <c r="A1031" s="2" t="s">
        <v>6</v>
      </c>
      <c r="B1031" s="2"/>
      <c r="C1031" s="2" t="s">
        <v>1096</v>
      </c>
      <c r="D1031" s="8">
        <v>45700</v>
      </c>
      <c r="E1031" s="8"/>
      <c r="F1031" s="8">
        <v>45714</v>
      </c>
      <c r="G1031" s="8">
        <v>45715</v>
      </c>
      <c r="H1031" s="4" t="s">
        <v>1302</v>
      </c>
    </row>
    <row r="1032" spans="1:8" hidden="1">
      <c r="A1032" s="2" t="s">
        <v>6</v>
      </c>
      <c r="B1032" s="2"/>
      <c r="C1032" s="2" t="s">
        <v>1096</v>
      </c>
      <c r="D1032" s="8">
        <v>45700</v>
      </c>
      <c r="E1032" s="8"/>
      <c r="F1032" s="8">
        <v>45714</v>
      </c>
      <c r="G1032" s="8">
        <v>45715</v>
      </c>
      <c r="H1032" s="4" t="s">
        <v>1302</v>
      </c>
    </row>
    <row r="1033" spans="1:8" hidden="1">
      <c r="A1033" s="2" t="s">
        <v>6</v>
      </c>
      <c r="B1033" s="2"/>
      <c r="C1033" s="2" t="s">
        <v>1096</v>
      </c>
      <c r="D1033" s="8">
        <v>45685</v>
      </c>
      <c r="E1033" s="8"/>
      <c r="F1033" s="8">
        <v>45712</v>
      </c>
      <c r="G1033" s="8">
        <v>45700</v>
      </c>
      <c r="H1033" s="4" t="s">
        <v>1303</v>
      </c>
    </row>
    <row r="1034" spans="1:8" hidden="1">
      <c r="A1034" s="2" t="s">
        <v>6</v>
      </c>
      <c r="B1034" s="2"/>
      <c r="C1034" s="2" t="s">
        <v>1096</v>
      </c>
      <c r="D1034" s="8">
        <v>45685</v>
      </c>
      <c r="E1034" s="8"/>
      <c r="F1034" s="8">
        <v>45712</v>
      </c>
      <c r="G1034" s="8">
        <v>45700</v>
      </c>
      <c r="H1034" s="4" t="s">
        <v>1304</v>
      </c>
    </row>
    <row r="1035" spans="1:8" hidden="1">
      <c r="A1035" s="2" t="s">
        <v>6</v>
      </c>
      <c r="B1035" s="2"/>
      <c r="C1035" s="2" t="s">
        <v>1096</v>
      </c>
      <c r="D1035" s="8">
        <v>45685</v>
      </c>
      <c r="E1035" s="8"/>
      <c r="F1035" s="8">
        <v>45712</v>
      </c>
      <c r="G1035" s="8">
        <v>45700</v>
      </c>
      <c r="H1035" s="4" t="s">
        <v>1305</v>
      </c>
    </row>
    <row r="1036" spans="1:8" hidden="1">
      <c r="A1036" s="2" t="s">
        <v>6</v>
      </c>
      <c r="B1036" s="2"/>
      <c r="C1036" s="2" t="s">
        <v>1096</v>
      </c>
      <c r="D1036" s="8">
        <v>45685</v>
      </c>
      <c r="E1036" s="8"/>
      <c r="F1036" s="8">
        <v>45712</v>
      </c>
      <c r="G1036" s="8">
        <v>45700</v>
      </c>
      <c r="H1036" s="4" t="s">
        <v>1306</v>
      </c>
    </row>
    <row r="1037" spans="1:8" hidden="1">
      <c r="A1037" s="2" t="s">
        <v>6</v>
      </c>
      <c r="B1037" s="2"/>
      <c r="C1037" s="2" t="s">
        <v>1096</v>
      </c>
      <c r="D1037" s="8">
        <v>45685</v>
      </c>
      <c r="E1037" s="8"/>
      <c r="F1037" s="8">
        <v>45712</v>
      </c>
      <c r="G1037" s="8">
        <v>45700</v>
      </c>
      <c r="H1037" s="4" t="s">
        <v>1307</v>
      </c>
    </row>
    <row r="1038" spans="1:8" hidden="1">
      <c r="A1038" s="2" t="s">
        <v>6</v>
      </c>
      <c r="B1038" s="2"/>
      <c r="C1038" s="2" t="s">
        <v>1102</v>
      </c>
      <c r="D1038" s="8">
        <v>45707</v>
      </c>
      <c r="E1038" s="8"/>
      <c r="F1038" s="8">
        <v>45762</v>
      </c>
      <c r="G1038" s="8">
        <v>45722</v>
      </c>
      <c r="H1038" s="4" t="s">
        <v>1308</v>
      </c>
    </row>
    <row r="1039" spans="1:8" hidden="1">
      <c r="A1039" s="2" t="s">
        <v>6</v>
      </c>
      <c r="B1039" s="2"/>
      <c r="C1039" s="2" t="s">
        <v>1104</v>
      </c>
      <c r="D1039" s="8">
        <v>45707</v>
      </c>
      <c r="E1039" s="8"/>
      <c r="F1039" s="8">
        <v>45762</v>
      </c>
      <c r="G1039" s="8">
        <v>45722</v>
      </c>
      <c r="H1039" s="4" t="s">
        <v>1309</v>
      </c>
    </row>
    <row r="1040" spans="1:8" hidden="1">
      <c r="A1040" s="2" t="s">
        <v>6</v>
      </c>
      <c r="B1040" s="2"/>
      <c r="C1040" s="2" t="s">
        <v>1104</v>
      </c>
      <c r="D1040" s="8">
        <v>45707</v>
      </c>
      <c r="E1040" s="8"/>
      <c r="F1040" s="8">
        <v>45762</v>
      </c>
      <c r="G1040" s="8">
        <v>45722</v>
      </c>
      <c r="H1040" s="4" t="s">
        <v>1310</v>
      </c>
    </row>
    <row r="1041" spans="1:8" hidden="1">
      <c r="A1041" s="2" t="s">
        <v>6</v>
      </c>
      <c r="B1041" s="2"/>
      <c r="C1041" s="2" t="s">
        <v>1104</v>
      </c>
      <c r="D1041" s="8">
        <v>45707</v>
      </c>
      <c r="E1041" s="8"/>
      <c r="F1041" s="8">
        <v>45762</v>
      </c>
      <c r="G1041" s="8">
        <v>45722</v>
      </c>
      <c r="H1041" s="4" t="s">
        <v>1311</v>
      </c>
    </row>
    <row r="1042" spans="1:8" hidden="1">
      <c r="A1042" s="2" t="s">
        <v>6</v>
      </c>
      <c r="B1042" s="2"/>
      <c r="C1042" s="2" t="s">
        <v>1104</v>
      </c>
      <c r="D1042" s="8">
        <v>45707</v>
      </c>
      <c r="E1042" s="8"/>
      <c r="F1042" s="8">
        <v>45762</v>
      </c>
      <c r="G1042" s="8">
        <v>45722</v>
      </c>
      <c r="H1042" s="4" t="s">
        <v>1312</v>
      </c>
    </row>
    <row r="1043" spans="1:8" hidden="1">
      <c r="A1043" s="2" t="s">
        <v>6</v>
      </c>
      <c r="B1043" s="2"/>
      <c r="C1043" s="2" t="s">
        <v>1104</v>
      </c>
      <c r="D1043" s="8">
        <v>45707</v>
      </c>
      <c r="E1043" s="8"/>
      <c r="F1043" s="8">
        <v>45762</v>
      </c>
      <c r="G1043" s="8">
        <v>45722</v>
      </c>
      <c r="H1043" s="4" t="s">
        <v>1313</v>
      </c>
    </row>
    <row r="1044" spans="1:8" hidden="1">
      <c r="A1044" s="2" t="s">
        <v>8</v>
      </c>
      <c r="B1044" s="2"/>
      <c r="C1044" s="2" t="s">
        <v>1105</v>
      </c>
      <c r="D1044" s="8">
        <v>45698</v>
      </c>
      <c r="E1044" s="8"/>
      <c r="F1044" s="8">
        <v>45726</v>
      </c>
      <c r="G1044" s="8">
        <v>45713</v>
      </c>
      <c r="H1044" s="4" t="s">
        <v>1314</v>
      </c>
    </row>
    <row r="1045" spans="1:8" hidden="1">
      <c r="A1045" s="2" t="s">
        <v>6</v>
      </c>
      <c r="B1045" s="2"/>
      <c r="C1045" s="2" t="s">
        <v>1106</v>
      </c>
      <c r="D1045" s="8">
        <v>45700</v>
      </c>
      <c r="E1045" s="8"/>
      <c r="F1045" s="8">
        <v>45742</v>
      </c>
      <c r="G1045" s="8">
        <v>45715</v>
      </c>
      <c r="H1045" s="4" t="s">
        <v>1315</v>
      </c>
    </row>
    <row r="1046" spans="1:8" hidden="1">
      <c r="A1046" s="2" t="s">
        <v>8</v>
      </c>
      <c r="B1046" s="2"/>
      <c r="C1046" s="2" t="s">
        <v>1107</v>
      </c>
      <c r="D1046" s="8">
        <v>45698</v>
      </c>
      <c r="E1046" s="8"/>
      <c r="F1046" s="8">
        <v>45726</v>
      </c>
      <c r="G1046" s="8">
        <v>45713</v>
      </c>
      <c r="H1046" s="4" t="s">
        <v>1316</v>
      </c>
    </row>
    <row r="1047" spans="1:8" hidden="1">
      <c r="A1047" s="2" t="s">
        <v>8</v>
      </c>
      <c r="B1047" s="2"/>
      <c r="C1047" s="2" t="s">
        <v>1107</v>
      </c>
      <c r="D1047" s="8">
        <v>45698</v>
      </c>
      <c r="E1047" s="8"/>
      <c r="F1047" s="8">
        <v>45726</v>
      </c>
      <c r="G1047" s="8">
        <v>45713</v>
      </c>
      <c r="H1047" s="4" t="s">
        <v>1317</v>
      </c>
    </row>
    <row r="1048" spans="1:8" hidden="1">
      <c r="A1048" s="2" t="s">
        <v>8</v>
      </c>
      <c r="B1048" s="2"/>
      <c r="C1048" s="2" t="s">
        <v>1107</v>
      </c>
      <c r="D1048" s="8">
        <v>45698</v>
      </c>
      <c r="E1048" s="8"/>
      <c r="F1048" s="8">
        <v>45726</v>
      </c>
      <c r="G1048" s="8">
        <v>45713</v>
      </c>
      <c r="H1048" s="4" t="s">
        <v>1318</v>
      </c>
    </row>
    <row r="1049" spans="1:8" hidden="1">
      <c r="A1049" s="2" t="s">
        <v>8</v>
      </c>
      <c r="B1049" s="2"/>
      <c r="C1049" s="2" t="s">
        <v>1107</v>
      </c>
      <c r="D1049" s="8">
        <v>45698</v>
      </c>
      <c r="E1049" s="8"/>
      <c r="F1049" s="8">
        <v>45726</v>
      </c>
      <c r="G1049" s="8">
        <v>45713</v>
      </c>
      <c r="H1049" s="4" t="s">
        <v>1319</v>
      </c>
    </row>
    <row r="1050" spans="1:8" hidden="1">
      <c r="A1050" s="2" t="s">
        <v>8</v>
      </c>
      <c r="B1050" s="2"/>
      <c r="C1050" s="2" t="s">
        <v>1108</v>
      </c>
      <c r="D1050" s="8">
        <v>45700</v>
      </c>
      <c r="E1050" s="8"/>
      <c r="F1050" s="8">
        <v>45726</v>
      </c>
      <c r="G1050" s="8">
        <v>45715</v>
      </c>
      <c r="H1050" s="4" t="s">
        <v>1320</v>
      </c>
    </row>
    <row r="1051" spans="1:8" hidden="1">
      <c r="A1051" s="2" t="s">
        <v>6</v>
      </c>
      <c r="B1051" s="2"/>
      <c r="C1051" s="2" t="s">
        <v>1109</v>
      </c>
      <c r="D1051" s="8">
        <v>45700</v>
      </c>
      <c r="E1051" s="8"/>
      <c r="F1051" s="8">
        <v>45741</v>
      </c>
      <c r="G1051" s="8">
        <v>45715</v>
      </c>
      <c r="H1051" s="4" t="s">
        <v>1321</v>
      </c>
    </row>
    <row r="1052" spans="1:8" hidden="1">
      <c r="A1052" s="2" t="s">
        <v>8</v>
      </c>
      <c r="B1052" s="2"/>
      <c r="C1052" s="2" t="s">
        <v>1110</v>
      </c>
      <c r="D1052" s="8">
        <v>45708</v>
      </c>
      <c r="E1052" s="8"/>
      <c r="F1052" s="8">
        <v>45736</v>
      </c>
      <c r="G1052" s="8">
        <v>45723</v>
      </c>
      <c r="H1052" s="4" t="s">
        <v>1322</v>
      </c>
    </row>
    <row r="1053" spans="1:8" hidden="1">
      <c r="A1053" s="2" t="s">
        <v>8</v>
      </c>
      <c r="B1053" s="2"/>
      <c r="C1053" s="2" t="s">
        <v>1111</v>
      </c>
      <c r="D1053" s="8">
        <v>45708</v>
      </c>
      <c r="E1053" s="8"/>
      <c r="F1053" s="8">
        <v>45736</v>
      </c>
      <c r="G1053" s="8">
        <v>45723</v>
      </c>
      <c r="H1053" s="4" t="s">
        <v>1323</v>
      </c>
    </row>
    <row r="1054" spans="1:8" hidden="1">
      <c r="A1054" s="2" t="s">
        <v>8</v>
      </c>
      <c r="B1054" s="2"/>
      <c r="C1054" s="2" t="s">
        <v>1111</v>
      </c>
      <c r="D1054" s="8">
        <v>45708</v>
      </c>
      <c r="E1054" s="8"/>
      <c r="F1054" s="8">
        <v>45736</v>
      </c>
      <c r="G1054" s="8">
        <v>45723</v>
      </c>
      <c r="H1054" s="4" t="s">
        <v>1324</v>
      </c>
    </row>
    <row r="1055" spans="1:8" hidden="1">
      <c r="A1055" s="2" t="s">
        <v>8</v>
      </c>
      <c r="B1055" s="2"/>
      <c r="C1055" s="2" t="s">
        <v>1112</v>
      </c>
      <c r="D1055" s="8">
        <v>45713</v>
      </c>
      <c r="E1055" s="8"/>
      <c r="F1055" s="8">
        <v>45741</v>
      </c>
      <c r="G1055" s="8">
        <v>45728</v>
      </c>
      <c r="H1055" s="4" t="s">
        <v>1325</v>
      </c>
    </row>
    <row r="1056" spans="1:8" hidden="1">
      <c r="A1056" s="2" t="s">
        <v>8</v>
      </c>
      <c r="B1056" s="2"/>
      <c r="C1056" s="2" t="s">
        <v>1112</v>
      </c>
      <c r="D1056" s="8">
        <v>45713</v>
      </c>
      <c r="E1056" s="8"/>
      <c r="F1056" s="8">
        <v>45741</v>
      </c>
      <c r="G1056" s="8">
        <v>45728</v>
      </c>
      <c r="H1056" s="4" t="s">
        <v>1326</v>
      </c>
    </row>
    <row r="1057" spans="1:8" hidden="1">
      <c r="A1057" s="2" t="s">
        <v>8</v>
      </c>
      <c r="B1057" s="2"/>
      <c r="C1057" s="2" t="s">
        <v>1112</v>
      </c>
      <c r="D1057" s="8">
        <v>45713</v>
      </c>
      <c r="E1057" s="8"/>
      <c r="F1057" s="8">
        <v>45741</v>
      </c>
      <c r="G1057" s="8">
        <v>45728</v>
      </c>
      <c r="H1057" s="4" t="s">
        <v>1327</v>
      </c>
    </row>
    <row r="1058" spans="1:8" hidden="1">
      <c r="A1058" s="2" t="s">
        <v>8</v>
      </c>
      <c r="B1058" s="2"/>
      <c r="C1058" s="2" t="s">
        <v>1112</v>
      </c>
      <c r="D1058" s="8">
        <v>45713</v>
      </c>
      <c r="E1058" s="8"/>
      <c r="F1058" s="8">
        <v>45741</v>
      </c>
      <c r="G1058" s="8">
        <v>45728</v>
      </c>
      <c r="H1058" s="4" t="s">
        <v>1328</v>
      </c>
    </row>
    <row r="1059" spans="1:8" hidden="1">
      <c r="A1059" s="2" t="s">
        <v>8</v>
      </c>
      <c r="B1059" s="2"/>
      <c r="C1059" s="2" t="s">
        <v>1112</v>
      </c>
      <c r="D1059" s="8">
        <v>45713</v>
      </c>
      <c r="E1059" s="8"/>
      <c r="F1059" s="8">
        <v>45741</v>
      </c>
      <c r="G1059" s="8">
        <v>45728</v>
      </c>
      <c r="H1059" s="4" t="s">
        <v>1329</v>
      </c>
    </row>
    <row r="1060" spans="1:8" hidden="1">
      <c r="A1060" s="2" t="s">
        <v>8</v>
      </c>
      <c r="B1060" s="2"/>
      <c r="C1060" s="2" t="s">
        <v>1112</v>
      </c>
      <c r="D1060" s="8">
        <v>45713</v>
      </c>
      <c r="E1060" s="8"/>
      <c r="F1060" s="8">
        <v>45741</v>
      </c>
      <c r="G1060" s="8">
        <v>45728</v>
      </c>
      <c r="H1060" s="4" t="s">
        <v>1330</v>
      </c>
    </row>
    <row r="1061" spans="1:8" hidden="1">
      <c r="A1061" s="2" t="s">
        <v>8</v>
      </c>
      <c r="B1061" s="2"/>
      <c r="C1061" s="2" t="s">
        <v>1112</v>
      </c>
      <c r="D1061" s="8">
        <v>45713</v>
      </c>
      <c r="E1061" s="8"/>
      <c r="F1061" s="8">
        <v>45741</v>
      </c>
      <c r="G1061" s="8">
        <v>45728</v>
      </c>
      <c r="H1061" s="4" t="s">
        <v>1331</v>
      </c>
    </row>
    <row r="1062" spans="1:8" hidden="1">
      <c r="A1062" s="2" t="s">
        <v>8</v>
      </c>
      <c r="B1062" s="2"/>
      <c r="C1062" s="2" t="s">
        <v>1112</v>
      </c>
      <c r="D1062" s="8">
        <v>45713</v>
      </c>
      <c r="E1062" s="8"/>
      <c r="F1062" s="8">
        <v>45741</v>
      </c>
      <c r="G1062" s="8">
        <v>45728</v>
      </c>
      <c r="H1062" s="4" t="s">
        <v>1332</v>
      </c>
    </row>
    <row r="1063" spans="1:8" hidden="1">
      <c r="A1063" s="2" t="s">
        <v>8</v>
      </c>
      <c r="B1063" s="2"/>
      <c r="C1063" s="2" t="s">
        <v>1112</v>
      </c>
      <c r="D1063" s="8">
        <v>45713</v>
      </c>
      <c r="E1063" s="8"/>
      <c r="F1063" s="8">
        <v>45741</v>
      </c>
      <c r="G1063" s="8">
        <v>45728</v>
      </c>
      <c r="H1063" s="4" t="s">
        <v>1333</v>
      </c>
    </row>
    <row r="1064" spans="1:8" hidden="1">
      <c r="A1064" s="2" t="s">
        <v>8</v>
      </c>
      <c r="B1064" s="2"/>
      <c r="C1064" s="2" t="s">
        <v>1112</v>
      </c>
      <c r="D1064" s="8">
        <v>45713</v>
      </c>
      <c r="E1064" s="8"/>
      <c r="F1064" s="8">
        <v>45741</v>
      </c>
      <c r="G1064" s="8">
        <v>45728</v>
      </c>
      <c r="H1064" s="4" t="s">
        <v>1334</v>
      </c>
    </row>
    <row r="1065" spans="1:8" hidden="1">
      <c r="A1065" s="2" t="s">
        <v>8</v>
      </c>
      <c r="B1065" s="2"/>
      <c r="C1065" s="2" t="s">
        <v>1112</v>
      </c>
      <c r="D1065" s="8">
        <v>45713</v>
      </c>
      <c r="E1065" s="8"/>
      <c r="F1065" s="8">
        <v>45741</v>
      </c>
      <c r="G1065" s="8">
        <v>45728</v>
      </c>
      <c r="H1065" s="4" t="s">
        <v>1335</v>
      </c>
    </row>
    <row r="1066" spans="1:8" hidden="1">
      <c r="A1066" s="2" t="s">
        <v>8</v>
      </c>
      <c r="B1066" s="2"/>
      <c r="C1066" s="2" t="s">
        <v>1112</v>
      </c>
      <c r="D1066" s="8">
        <v>45713</v>
      </c>
      <c r="E1066" s="8"/>
      <c r="F1066" s="8">
        <v>45741</v>
      </c>
      <c r="G1066" s="8">
        <v>45728</v>
      </c>
      <c r="H1066" s="4" t="s">
        <v>1336</v>
      </c>
    </row>
    <row r="1067" spans="1:8" hidden="1">
      <c r="A1067" s="2" t="s">
        <v>8</v>
      </c>
      <c r="B1067" s="2"/>
      <c r="C1067" s="2" t="s">
        <v>1107</v>
      </c>
      <c r="D1067" s="8">
        <v>45708</v>
      </c>
      <c r="E1067" s="8"/>
      <c r="F1067" s="8">
        <v>45736</v>
      </c>
      <c r="G1067" s="8">
        <v>45723</v>
      </c>
      <c r="H1067" s="4" t="s">
        <v>1337</v>
      </c>
    </row>
    <row r="1068" spans="1:8" hidden="1">
      <c r="A1068" s="2" t="s">
        <v>8</v>
      </c>
      <c r="B1068" s="2"/>
      <c r="C1068" s="2" t="s">
        <v>1107</v>
      </c>
      <c r="D1068" s="8">
        <v>45708</v>
      </c>
      <c r="E1068" s="8"/>
      <c r="F1068" s="8">
        <v>45736</v>
      </c>
      <c r="G1068" s="8">
        <v>45723</v>
      </c>
      <c r="H1068" s="4" t="s">
        <v>1338</v>
      </c>
    </row>
    <row r="1069" spans="1:8" hidden="1">
      <c r="A1069" s="2" t="s">
        <v>2</v>
      </c>
      <c r="B1069" s="2"/>
      <c r="C1069" s="2" t="s">
        <v>1113</v>
      </c>
      <c r="D1069" s="8">
        <v>45717</v>
      </c>
      <c r="E1069" s="8"/>
      <c r="F1069" s="8">
        <v>45747</v>
      </c>
      <c r="G1069" s="8">
        <v>45731</v>
      </c>
      <c r="H1069" s="4" t="s">
        <v>1339</v>
      </c>
    </row>
    <row r="1070" spans="1:8" hidden="1">
      <c r="A1070" s="2" t="s">
        <v>2</v>
      </c>
      <c r="B1070" s="2"/>
      <c r="C1070" s="2" t="s">
        <v>1113</v>
      </c>
      <c r="D1070" s="8">
        <v>45717</v>
      </c>
      <c r="E1070" s="8"/>
      <c r="F1070" s="8">
        <v>45747</v>
      </c>
      <c r="G1070" s="8">
        <v>45731</v>
      </c>
      <c r="H1070" s="4" t="s">
        <v>1340</v>
      </c>
    </row>
    <row r="1071" spans="1:8" hidden="1">
      <c r="A1071" s="2" t="s">
        <v>2</v>
      </c>
      <c r="B1071" s="2"/>
      <c r="C1071" s="2" t="s">
        <v>1113</v>
      </c>
      <c r="D1071" s="8">
        <v>45717</v>
      </c>
      <c r="E1071" s="8"/>
      <c r="F1071" s="8">
        <v>45747</v>
      </c>
      <c r="G1071" s="8">
        <v>45731</v>
      </c>
      <c r="H1071" s="4" t="s">
        <v>1341</v>
      </c>
    </row>
    <row r="1072" spans="1:8" hidden="1">
      <c r="A1072" s="2" t="s">
        <v>2</v>
      </c>
      <c r="B1072" s="2"/>
      <c r="C1072" s="2" t="s">
        <v>1113</v>
      </c>
      <c r="D1072" s="8">
        <v>45717</v>
      </c>
      <c r="E1072" s="8"/>
      <c r="F1072" s="8">
        <v>45747</v>
      </c>
      <c r="G1072" s="8">
        <v>45731</v>
      </c>
      <c r="H1072" s="4" t="s">
        <v>1342</v>
      </c>
    </row>
    <row r="1073" spans="1:8" hidden="1">
      <c r="A1073" s="2" t="s">
        <v>2</v>
      </c>
      <c r="B1073" s="2"/>
      <c r="C1073" s="2" t="s">
        <v>1113</v>
      </c>
      <c r="D1073" s="8">
        <v>45717</v>
      </c>
      <c r="E1073" s="8"/>
      <c r="F1073" s="8">
        <v>45747</v>
      </c>
      <c r="G1073" s="8">
        <v>45731</v>
      </c>
      <c r="H1073" s="4" t="s">
        <v>1343</v>
      </c>
    </row>
    <row r="1074" spans="1:8" hidden="1">
      <c r="A1074" s="2" t="s">
        <v>2</v>
      </c>
      <c r="B1074" s="2"/>
      <c r="C1074" s="2" t="s">
        <v>1113</v>
      </c>
      <c r="D1074" s="8">
        <v>45717</v>
      </c>
      <c r="E1074" s="8"/>
      <c r="F1074" s="8">
        <v>45747</v>
      </c>
      <c r="G1074" s="8">
        <v>45731</v>
      </c>
      <c r="H1074" s="4" t="s">
        <v>1344</v>
      </c>
    </row>
    <row r="1075" spans="1:8" hidden="1">
      <c r="A1075" s="2" t="s">
        <v>2</v>
      </c>
      <c r="B1075" s="2"/>
      <c r="C1075" s="2" t="s">
        <v>1113</v>
      </c>
      <c r="D1075" s="8">
        <v>45717</v>
      </c>
      <c r="E1075" s="8"/>
      <c r="F1075" s="8">
        <v>45747</v>
      </c>
      <c r="G1075" s="8">
        <v>45731</v>
      </c>
      <c r="H1075" s="4" t="s">
        <v>1345</v>
      </c>
    </row>
    <row r="1076" spans="1:8" hidden="1">
      <c r="A1076" s="2" t="s">
        <v>2</v>
      </c>
      <c r="B1076" s="2"/>
      <c r="C1076" s="2" t="s">
        <v>1113</v>
      </c>
      <c r="D1076" s="8">
        <v>45717</v>
      </c>
      <c r="E1076" s="8"/>
      <c r="F1076" s="8">
        <v>45747</v>
      </c>
      <c r="G1076" s="8">
        <v>45731</v>
      </c>
      <c r="H1076" s="4" t="s">
        <v>1346</v>
      </c>
    </row>
    <row r="1077" spans="1:8" hidden="1">
      <c r="A1077" s="2" t="s">
        <v>2</v>
      </c>
      <c r="B1077" s="2"/>
      <c r="C1077" s="2" t="s">
        <v>1114</v>
      </c>
      <c r="D1077" s="8">
        <v>45717</v>
      </c>
      <c r="E1077" s="8"/>
      <c r="F1077" s="8">
        <v>45767</v>
      </c>
      <c r="G1077" s="8">
        <v>45731</v>
      </c>
      <c r="H1077" s="4" t="s">
        <v>1347</v>
      </c>
    </row>
    <row r="1078" spans="1:8" hidden="1">
      <c r="A1078" s="2" t="s">
        <v>8</v>
      </c>
      <c r="B1078" s="2"/>
      <c r="C1078" s="2" t="s">
        <v>1115</v>
      </c>
      <c r="D1078" s="8">
        <v>45721</v>
      </c>
      <c r="E1078" s="8"/>
      <c r="F1078" s="8">
        <v>45752</v>
      </c>
      <c r="G1078" s="8">
        <v>45736</v>
      </c>
      <c r="H1078" s="2" t="s">
        <v>807</v>
      </c>
    </row>
    <row r="1079" spans="1:8" hidden="1">
      <c r="A1079" s="2" t="s">
        <v>2</v>
      </c>
      <c r="B1079" s="2"/>
      <c r="C1079" s="2" t="s">
        <v>1116</v>
      </c>
      <c r="D1079" s="8">
        <v>45729</v>
      </c>
      <c r="E1079" s="8"/>
      <c r="F1079" s="8">
        <v>45747</v>
      </c>
      <c r="G1079" s="8">
        <v>45744</v>
      </c>
      <c r="H1079" s="2" t="s">
        <v>808</v>
      </c>
    </row>
    <row r="1080" spans="1:8" hidden="1">
      <c r="A1080" s="2" t="s">
        <v>2</v>
      </c>
      <c r="B1080" s="2"/>
      <c r="C1080" s="2" t="s">
        <v>1117</v>
      </c>
      <c r="D1080" s="8">
        <v>45729</v>
      </c>
      <c r="E1080" s="8"/>
      <c r="F1080" s="8">
        <v>45747</v>
      </c>
      <c r="G1080" s="8">
        <v>45744</v>
      </c>
      <c r="H1080" s="2" t="s">
        <v>809</v>
      </c>
    </row>
    <row r="1081" spans="1:8" hidden="1">
      <c r="A1081" s="2" t="s">
        <v>2</v>
      </c>
      <c r="B1081" s="2"/>
      <c r="C1081" s="2" t="s">
        <v>1117</v>
      </c>
      <c r="D1081" s="8">
        <v>45729</v>
      </c>
      <c r="E1081" s="8"/>
      <c r="F1081" s="8">
        <v>45747</v>
      </c>
      <c r="G1081" s="8">
        <v>45744</v>
      </c>
      <c r="H1081" s="2" t="s">
        <v>809</v>
      </c>
    </row>
    <row r="1082" spans="1:8" hidden="1">
      <c r="A1082" s="2" t="s">
        <v>2</v>
      </c>
      <c r="B1082" s="2"/>
      <c r="C1082" s="2" t="s">
        <v>1118</v>
      </c>
      <c r="D1082" s="8">
        <v>45740</v>
      </c>
      <c r="E1082" s="8"/>
      <c r="F1082" s="8">
        <v>45777</v>
      </c>
      <c r="G1082" s="8">
        <v>45755</v>
      </c>
      <c r="H1082" s="2" t="s">
        <v>810</v>
      </c>
    </row>
    <row r="1083" spans="1:8" hidden="1">
      <c r="A1083" s="2" t="s">
        <v>2</v>
      </c>
      <c r="B1083" s="2"/>
      <c r="C1083" s="2" t="s">
        <v>1118</v>
      </c>
      <c r="D1083" s="8">
        <v>45740</v>
      </c>
      <c r="E1083" s="8"/>
      <c r="F1083" s="8">
        <v>45777</v>
      </c>
      <c r="G1083" s="8">
        <v>45755</v>
      </c>
      <c r="H1083" s="2" t="s">
        <v>811</v>
      </c>
    </row>
    <row r="1084" spans="1:8" hidden="1">
      <c r="A1084" s="2" t="s">
        <v>2</v>
      </c>
      <c r="B1084" s="2"/>
      <c r="C1084" s="2" t="s">
        <v>1118</v>
      </c>
      <c r="D1084" s="8">
        <v>45740</v>
      </c>
      <c r="E1084" s="8"/>
      <c r="F1084" s="8">
        <v>45777</v>
      </c>
      <c r="G1084" s="8">
        <v>45755</v>
      </c>
      <c r="H1084" s="2" t="s">
        <v>812</v>
      </c>
    </row>
    <row r="1085" spans="1:8" hidden="1">
      <c r="A1085" s="2" t="s">
        <v>2</v>
      </c>
      <c r="B1085" s="2"/>
      <c r="C1085" s="2" t="s">
        <v>1118</v>
      </c>
      <c r="D1085" s="8">
        <v>45740</v>
      </c>
      <c r="E1085" s="8"/>
      <c r="F1085" s="8">
        <v>45777</v>
      </c>
      <c r="G1085" s="8">
        <v>45755</v>
      </c>
      <c r="H1085" s="2" t="s">
        <v>813</v>
      </c>
    </row>
    <row r="1086" spans="1:8" hidden="1">
      <c r="A1086" s="2" t="s">
        <v>2</v>
      </c>
      <c r="B1086" s="2"/>
      <c r="C1086" s="2" t="s">
        <v>1118</v>
      </c>
      <c r="D1086" s="8">
        <v>45740</v>
      </c>
      <c r="E1086" s="8"/>
      <c r="F1086" s="8">
        <v>45777</v>
      </c>
      <c r="G1086" s="8">
        <v>45755</v>
      </c>
      <c r="H1086" s="2" t="s">
        <v>814</v>
      </c>
    </row>
    <row r="1087" spans="1:8" hidden="1">
      <c r="A1087" s="2" t="s">
        <v>2</v>
      </c>
      <c r="B1087" s="2"/>
      <c r="C1087" s="2" t="s">
        <v>1118</v>
      </c>
      <c r="D1087" s="8">
        <v>45740</v>
      </c>
      <c r="E1087" s="8"/>
      <c r="F1087" s="8">
        <v>45777</v>
      </c>
      <c r="G1087" s="8">
        <v>45755</v>
      </c>
      <c r="H1087" s="2" t="s">
        <v>815</v>
      </c>
    </row>
    <row r="1088" spans="1:8" hidden="1">
      <c r="A1088" s="2" t="s">
        <v>2</v>
      </c>
      <c r="B1088" s="2"/>
      <c r="C1088" s="2" t="s">
        <v>1119</v>
      </c>
      <c r="D1088" s="8">
        <v>45734</v>
      </c>
      <c r="E1088" s="8"/>
      <c r="F1088" s="8">
        <v>45777</v>
      </c>
      <c r="G1088" s="8">
        <v>45749</v>
      </c>
      <c r="H1088" s="2" t="s">
        <v>816</v>
      </c>
    </row>
    <row r="1089" spans="1:8" hidden="1">
      <c r="A1089" s="2" t="s">
        <v>8</v>
      </c>
      <c r="B1089" s="2"/>
      <c r="C1089" s="2" t="s">
        <v>1120</v>
      </c>
      <c r="D1089" s="8">
        <v>45741</v>
      </c>
      <c r="E1089" s="8"/>
      <c r="F1089" s="8">
        <v>45762</v>
      </c>
      <c r="G1089" s="8">
        <v>45756</v>
      </c>
      <c r="H1089" s="2" t="s">
        <v>817</v>
      </c>
    </row>
    <row r="1090" spans="1:8" hidden="1">
      <c r="A1090" s="2" t="s">
        <v>8</v>
      </c>
      <c r="B1090" s="2"/>
      <c r="C1090" s="2" t="s">
        <v>1120</v>
      </c>
      <c r="D1090" s="8">
        <v>45741</v>
      </c>
      <c r="E1090" s="8"/>
      <c r="F1090" s="8">
        <v>45762</v>
      </c>
      <c r="G1090" s="8">
        <v>45756</v>
      </c>
      <c r="H1090" s="2" t="s">
        <v>818</v>
      </c>
    </row>
    <row r="1091" spans="1:8" hidden="1">
      <c r="A1091" s="2" t="s">
        <v>8</v>
      </c>
      <c r="B1091" s="2"/>
      <c r="C1091" s="2" t="s">
        <v>1120</v>
      </c>
      <c r="D1091" s="8">
        <v>45741</v>
      </c>
      <c r="E1091" s="8"/>
      <c r="F1091" s="8">
        <v>45762</v>
      </c>
      <c r="G1091" s="8">
        <v>45756</v>
      </c>
      <c r="H1091" s="2" t="s">
        <v>819</v>
      </c>
    </row>
    <row r="1092" spans="1:8" hidden="1">
      <c r="A1092" s="2" t="s">
        <v>8</v>
      </c>
      <c r="B1092" s="2"/>
      <c r="C1092" s="2" t="s">
        <v>1120</v>
      </c>
      <c r="D1092" s="8">
        <v>45741</v>
      </c>
      <c r="E1092" s="8"/>
      <c r="F1092" s="8">
        <v>45762</v>
      </c>
      <c r="G1092" s="8">
        <v>45756</v>
      </c>
      <c r="H1092" s="2" t="s">
        <v>820</v>
      </c>
    </row>
    <row r="1093" spans="1:8" hidden="1">
      <c r="A1093" s="2" t="s">
        <v>8</v>
      </c>
      <c r="B1093" s="2"/>
      <c r="C1093" s="2" t="s">
        <v>1120</v>
      </c>
      <c r="D1093" s="8">
        <v>45741</v>
      </c>
      <c r="E1093" s="8"/>
      <c r="F1093" s="8">
        <v>45762</v>
      </c>
      <c r="G1093" s="8">
        <v>45756</v>
      </c>
      <c r="H1093" s="2" t="s">
        <v>821</v>
      </c>
    </row>
    <row r="1094" spans="1:8" hidden="1">
      <c r="A1094" s="2" t="s">
        <v>8</v>
      </c>
      <c r="B1094" s="2"/>
      <c r="C1094" s="2" t="s">
        <v>1120</v>
      </c>
      <c r="D1094" s="8">
        <v>45741</v>
      </c>
      <c r="E1094" s="8"/>
      <c r="F1094" s="8">
        <v>45762</v>
      </c>
      <c r="G1094" s="8">
        <v>45756</v>
      </c>
      <c r="H1094" s="2" t="s">
        <v>822</v>
      </c>
    </row>
    <row r="1095" spans="1:8" hidden="1">
      <c r="A1095" s="2" t="s">
        <v>8</v>
      </c>
      <c r="B1095" s="2"/>
      <c r="C1095" s="2" t="s">
        <v>1120</v>
      </c>
      <c r="D1095" s="8">
        <v>45741</v>
      </c>
      <c r="E1095" s="8"/>
      <c r="F1095" s="8">
        <v>45762</v>
      </c>
      <c r="G1095" s="8">
        <v>45756</v>
      </c>
      <c r="H1095" s="2" t="s">
        <v>823</v>
      </c>
    </row>
    <row r="1096" spans="1:8" hidden="1">
      <c r="A1096" s="2" t="s">
        <v>8</v>
      </c>
      <c r="B1096" s="2"/>
      <c r="C1096" s="2" t="s">
        <v>1121</v>
      </c>
      <c r="D1096" s="8">
        <v>45377</v>
      </c>
      <c r="E1096" s="8"/>
      <c r="F1096" s="8" t="s">
        <v>17</v>
      </c>
      <c r="G1096" s="8">
        <v>45392</v>
      </c>
      <c r="H1096" s="2" t="s">
        <v>824</v>
      </c>
    </row>
    <row r="1097" spans="1:8" hidden="1">
      <c r="A1097" s="2" t="s">
        <v>8</v>
      </c>
      <c r="B1097" s="2"/>
      <c r="C1097" s="2" t="s">
        <v>1121</v>
      </c>
      <c r="D1097" s="8">
        <v>45742</v>
      </c>
      <c r="E1097" s="8"/>
      <c r="F1097" s="8">
        <v>45773</v>
      </c>
      <c r="G1097" s="8">
        <v>45757</v>
      </c>
      <c r="H1097" s="2" t="s">
        <v>825</v>
      </c>
    </row>
    <row r="1098" spans="1:8" hidden="1">
      <c r="A1098" s="2" t="s">
        <v>8</v>
      </c>
      <c r="B1098" s="2"/>
      <c r="C1098" s="2" t="s">
        <v>1122</v>
      </c>
      <c r="D1098" s="8">
        <v>45742</v>
      </c>
      <c r="E1098" s="8"/>
      <c r="F1098" s="8">
        <v>45773</v>
      </c>
      <c r="G1098" s="8">
        <v>45757</v>
      </c>
      <c r="H1098" s="2" t="s">
        <v>826</v>
      </c>
    </row>
    <row r="1099" spans="1:8" hidden="1">
      <c r="A1099" s="2" t="s">
        <v>8</v>
      </c>
      <c r="B1099" s="2"/>
      <c r="C1099" s="2" t="s">
        <v>1123</v>
      </c>
      <c r="D1099" s="8">
        <v>45742</v>
      </c>
      <c r="E1099" s="8"/>
      <c r="F1099" s="8">
        <v>45773</v>
      </c>
      <c r="G1099" s="8">
        <v>45757</v>
      </c>
      <c r="H1099" s="2" t="s">
        <v>827</v>
      </c>
    </row>
    <row r="1100" spans="1:8" hidden="1">
      <c r="A1100" s="2" t="s">
        <v>9</v>
      </c>
      <c r="B1100" s="2"/>
      <c r="C1100" s="2" t="s">
        <v>1124</v>
      </c>
      <c r="D1100" s="8">
        <v>45754</v>
      </c>
      <c r="E1100" s="8"/>
      <c r="F1100" s="8">
        <v>45777</v>
      </c>
      <c r="G1100" s="8">
        <v>45769</v>
      </c>
      <c r="H1100" s="2" t="s">
        <v>828</v>
      </c>
    </row>
    <row r="1101" spans="1:8" hidden="1">
      <c r="A1101" s="2" t="s">
        <v>9</v>
      </c>
      <c r="B1101" s="2"/>
      <c r="C1101" s="2" t="s">
        <v>1124</v>
      </c>
      <c r="D1101" s="8">
        <v>45754</v>
      </c>
      <c r="E1101" s="8"/>
      <c r="F1101" s="8">
        <v>45777</v>
      </c>
      <c r="G1101" s="8">
        <v>45769</v>
      </c>
      <c r="H1101" s="2" t="s">
        <v>828</v>
      </c>
    </row>
    <row r="1102" spans="1:8" hidden="1">
      <c r="A1102" s="2" t="s">
        <v>9</v>
      </c>
      <c r="B1102" s="2"/>
      <c r="C1102" s="2" t="s">
        <v>1124</v>
      </c>
      <c r="D1102" s="8">
        <v>45754</v>
      </c>
      <c r="E1102" s="8"/>
      <c r="F1102" s="8">
        <v>45777</v>
      </c>
      <c r="G1102" s="8">
        <v>45769</v>
      </c>
      <c r="H1102" s="2" t="s">
        <v>828</v>
      </c>
    </row>
    <row r="1103" spans="1:8" hidden="1">
      <c r="A1103" s="2" t="s">
        <v>8</v>
      </c>
      <c r="B1103" s="2"/>
      <c r="C1103" s="2" t="s">
        <v>1122</v>
      </c>
      <c r="D1103" s="8">
        <v>45763</v>
      </c>
      <c r="E1103" s="8"/>
      <c r="F1103" s="8">
        <v>45802</v>
      </c>
      <c r="G1103" s="8">
        <v>45778</v>
      </c>
      <c r="H1103" s="2" t="s">
        <v>829</v>
      </c>
    </row>
    <row r="1104" spans="1:8" hidden="1">
      <c r="A1104" s="2" t="s">
        <v>6</v>
      </c>
      <c r="B1104" s="2"/>
      <c r="C1104" s="2" t="s">
        <v>1125</v>
      </c>
      <c r="D1104" s="8">
        <v>45771</v>
      </c>
      <c r="E1104" s="8"/>
      <c r="F1104" s="8">
        <v>45819</v>
      </c>
      <c r="G1104" s="8">
        <v>45786</v>
      </c>
      <c r="H1104" s="2" t="s">
        <v>830</v>
      </c>
    </row>
    <row r="1105" spans="1:8" hidden="1">
      <c r="A1105" s="2" t="s">
        <v>6</v>
      </c>
      <c r="B1105" s="2"/>
      <c r="C1105" s="2" t="s">
        <v>1125</v>
      </c>
      <c r="D1105" s="8">
        <v>45771</v>
      </c>
      <c r="E1105" s="8"/>
      <c r="F1105" s="8">
        <v>45819</v>
      </c>
      <c r="G1105" s="8">
        <v>45786</v>
      </c>
      <c r="H1105" s="2" t="s">
        <v>831</v>
      </c>
    </row>
    <row r="1106" spans="1:8" hidden="1">
      <c r="A1106" s="2" t="s">
        <v>6</v>
      </c>
      <c r="B1106" s="2"/>
      <c r="C1106" s="2" t="s">
        <v>1125</v>
      </c>
      <c r="D1106" s="8">
        <v>45771</v>
      </c>
      <c r="E1106" s="8"/>
      <c r="F1106" s="8">
        <v>45819</v>
      </c>
      <c r="G1106" s="8">
        <v>45786</v>
      </c>
      <c r="H1106" s="2" t="s">
        <v>832</v>
      </c>
    </row>
    <row r="1107" spans="1:8" hidden="1">
      <c r="A1107" s="2" t="s">
        <v>2</v>
      </c>
      <c r="B1107" s="2"/>
      <c r="C1107" s="2" t="s">
        <v>1126</v>
      </c>
      <c r="D1107" s="8">
        <v>45761</v>
      </c>
      <c r="E1107" s="8"/>
      <c r="F1107" s="8">
        <v>45797</v>
      </c>
      <c r="G1107" s="8">
        <v>45776</v>
      </c>
      <c r="H1107" s="2" t="s">
        <v>833</v>
      </c>
    </row>
    <row r="1108" spans="1:8" hidden="1">
      <c r="A1108" s="2" t="s">
        <v>2</v>
      </c>
      <c r="B1108" s="2"/>
      <c r="C1108" s="2" t="s">
        <v>1126</v>
      </c>
      <c r="D1108" s="8">
        <v>45761</v>
      </c>
      <c r="E1108" s="8"/>
      <c r="F1108" s="8">
        <v>45797</v>
      </c>
      <c r="G1108" s="8">
        <v>45776</v>
      </c>
      <c r="H1108" s="2" t="s">
        <v>834</v>
      </c>
    </row>
    <row r="1109" spans="1:8" hidden="1">
      <c r="A1109" s="2" t="s">
        <v>2</v>
      </c>
      <c r="B1109" s="2"/>
      <c r="C1109" s="2" t="s">
        <v>1126</v>
      </c>
      <c r="D1109" s="8">
        <v>45761</v>
      </c>
      <c r="E1109" s="8"/>
      <c r="F1109" s="8">
        <v>45797</v>
      </c>
      <c r="G1109" s="8">
        <v>45776</v>
      </c>
      <c r="H1109" s="2" t="s">
        <v>835</v>
      </c>
    </row>
    <row r="1110" spans="1:8" hidden="1">
      <c r="A1110" s="2" t="s">
        <v>8</v>
      </c>
      <c r="B1110" s="2"/>
      <c r="C1110" s="2" t="s">
        <v>1127</v>
      </c>
      <c r="D1110" s="8">
        <v>45768</v>
      </c>
      <c r="E1110" s="8"/>
      <c r="F1110" s="8">
        <v>45802</v>
      </c>
      <c r="G1110" s="8">
        <v>45783</v>
      </c>
      <c r="H1110" s="2" t="s">
        <v>836</v>
      </c>
    </row>
    <row r="1111" spans="1:8" hidden="1">
      <c r="A1111" s="2" t="s">
        <v>8</v>
      </c>
      <c r="B1111" s="2"/>
      <c r="C1111" s="2" t="s">
        <v>1128</v>
      </c>
      <c r="D1111" s="8">
        <v>45768</v>
      </c>
      <c r="E1111" s="8"/>
      <c r="F1111" s="8">
        <v>45809</v>
      </c>
      <c r="G1111" s="8">
        <v>45783</v>
      </c>
      <c r="H1111" s="2" t="s">
        <v>837</v>
      </c>
    </row>
    <row r="1112" spans="1:8" hidden="1">
      <c r="A1112" s="2" t="s">
        <v>2</v>
      </c>
      <c r="B1112" s="2"/>
      <c r="C1112" s="2" t="s">
        <v>1126</v>
      </c>
      <c r="D1112" s="8">
        <v>45775</v>
      </c>
      <c r="E1112" s="8"/>
      <c r="F1112" s="8">
        <v>45792</v>
      </c>
      <c r="G1112" s="8">
        <v>45790</v>
      </c>
      <c r="H1112" s="2" t="s">
        <v>838</v>
      </c>
    </row>
    <row r="1113" spans="1:8" hidden="1">
      <c r="A1113" s="2" t="s">
        <v>2</v>
      </c>
      <c r="B1113" s="2"/>
      <c r="C1113" s="2" t="s">
        <v>1126</v>
      </c>
      <c r="D1113" s="8">
        <v>45775</v>
      </c>
      <c r="E1113" s="8"/>
      <c r="F1113" s="8">
        <v>45788</v>
      </c>
      <c r="G1113" s="8">
        <v>45790</v>
      </c>
      <c r="H1113" s="2" t="s">
        <v>839</v>
      </c>
    </row>
    <row r="1114" spans="1:8" hidden="1">
      <c r="A1114" s="2" t="s">
        <v>2</v>
      </c>
      <c r="B1114" s="2"/>
      <c r="C1114" s="2" t="s">
        <v>301</v>
      </c>
      <c r="D1114" s="8">
        <v>45771</v>
      </c>
      <c r="E1114" s="8"/>
      <c r="F1114" s="8">
        <v>45819</v>
      </c>
      <c r="G1114" s="8">
        <v>45786</v>
      </c>
      <c r="H1114" s="2" t="s">
        <v>840</v>
      </c>
    </row>
    <row r="1115" spans="1:8" hidden="1">
      <c r="A1115" s="2" t="s">
        <v>2</v>
      </c>
      <c r="B1115" s="2"/>
      <c r="C1115" s="2" t="s">
        <v>1126</v>
      </c>
      <c r="D1115" s="8">
        <v>45771</v>
      </c>
      <c r="E1115" s="8"/>
      <c r="F1115" s="8">
        <v>45819</v>
      </c>
      <c r="G1115" s="8">
        <v>45786</v>
      </c>
      <c r="H1115" s="2" t="s">
        <v>841</v>
      </c>
    </row>
    <row r="1116" spans="1:8" hidden="1">
      <c r="A1116" s="2" t="s">
        <v>2</v>
      </c>
      <c r="B1116" s="2"/>
      <c r="C1116" s="2" t="s">
        <v>1126</v>
      </c>
      <c r="D1116" s="8">
        <v>45771</v>
      </c>
      <c r="E1116" s="8"/>
      <c r="F1116" s="8">
        <v>45819</v>
      </c>
      <c r="G1116" s="8">
        <v>45786</v>
      </c>
      <c r="H1116" s="2" t="s">
        <v>842</v>
      </c>
    </row>
    <row r="1117" spans="1:8" hidden="1">
      <c r="A1117" s="2" t="s">
        <v>8</v>
      </c>
      <c r="B1117" s="2"/>
      <c r="C1117" s="2" t="s">
        <v>1126</v>
      </c>
      <c r="D1117" s="8">
        <v>45763</v>
      </c>
      <c r="E1117" s="8"/>
      <c r="F1117" s="8">
        <v>45802</v>
      </c>
      <c r="G1117" s="8">
        <v>45778</v>
      </c>
      <c r="H1117" s="2" t="s">
        <v>843</v>
      </c>
    </row>
    <row r="1118" spans="1:8" hidden="1">
      <c r="A1118" s="2" t="s">
        <v>9</v>
      </c>
      <c r="B1118" s="2"/>
      <c r="C1118" s="2" t="s">
        <v>1129</v>
      </c>
      <c r="D1118" s="8">
        <v>45786</v>
      </c>
      <c r="E1118" s="8"/>
      <c r="F1118" s="8">
        <v>45798</v>
      </c>
      <c r="G1118" s="8">
        <v>45801</v>
      </c>
      <c r="H1118" s="2" t="s">
        <v>844</v>
      </c>
    </row>
    <row r="1119" spans="1:8" hidden="1">
      <c r="A1119" s="2" t="s">
        <v>9</v>
      </c>
      <c r="B1119" s="2"/>
      <c r="C1119" s="2" t="s">
        <v>1129</v>
      </c>
      <c r="D1119" s="8">
        <v>45786</v>
      </c>
      <c r="E1119" s="8"/>
      <c r="F1119" s="8">
        <v>45798</v>
      </c>
      <c r="G1119" s="8">
        <v>45801</v>
      </c>
      <c r="H1119" s="2" t="s">
        <v>845</v>
      </c>
    </row>
    <row r="1120" spans="1:8" hidden="1">
      <c r="A1120" s="2" t="s">
        <v>8</v>
      </c>
      <c r="B1120" s="2"/>
      <c r="C1120" s="2" t="s">
        <v>1130</v>
      </c>
      <c r="D1120" s="8">
        <v>45782</v>
      </c>
      <c r="E1120" s="8"/>
      <c r="F1120" s="8">
        <v>45808</v>
      </c>
      <c r="G1120" s="8">
        <v>45797</v>
      </c>
      <c r="H1120" s="2" t="s">
        <v>247</v>
      </c>
    </row>
    <row r="1121" spans="1:8" hidden="1">
      <c r="A1121" s="2" t="s">
        <v>9</v>
      </c>
      <c r="B1121" s="2"/>
      <c r="C1121" s="2" t="s">
        <v>1129</v>
      </c>
      <c r="D1121" s="8">
        <v>45786</v>
      </c>
      <c r="E1121" s="8"/>
      <c r="F1121" s="8">
        <v>45798</v>
      </c>
      <c r="G1121" s="8">
        <v>45801</v>
      </c>
      <c r="H1121" s="2" t="s">
        <v>846</v>
      </c>
    </row>
    <row r="1122" spans="1:8" hidden="1">
      <c r="A1122" s="2" t="s">
        <v>9</v>
      </c>
      <c r="B1122" s="2"/>
      <c r="C1122" s="2" t="s">
        <v>1129</v>
      </c>
      <c r="D1122" s="8">
        <v>45786</v>
      </c>
      <c r="E1122" s="8"/>
      <c r="F1122" s="8">
        <v>45798</v>
      </c>
      <c r="G1122" s="8">
        <v>45801</v>
      </c>
      <c r="H1122" s="2" t="s">
        <v>847</v>
      </c>
    </row>
    <row r="1123" spans="1:8" hidden="1">
      <c r="A1123" s="2" t="s">
        <v>9</v>
      </c>
      <c r="B1123" s="2"/>
      <c r="C1123" s="2" t="s">
        <v>1129</v>
      </c>
      <c r="D1123" s="8">
        <v>45786</v>
      </c>
      <c r="E1123" s="8"/>
      <c r="F1123" s="8">
        <v>45798</v>
      </c>
      <c r="G1123" s="8">
        <v>45801</v>
      </c>
      <c r="H1123" s="2" t="s">
        <v>848</v>
      </c>
    </row>
    <row r="1124" spans="1:8" hidden="1">
      <c r="A1124" s="2" t="s">
        <v>6</v>
      </c>
      <c r="B1124" s="2"/>
      <c r="C1124" s="2" t="s">
        <v>1125</v>
      </c>
      <c r="D1124" s="8">
        <v>45796</v>
      </c>
      <c r="E1124" s="8"/>
      <c r="F1124" s="8">
        <v>45808</v>
      </c>
      <c r="G1124" s="8">
        <v>45811</v>
      </c>
      <c r="H1124" s="2" t="s">
        <v>849</v>
      </c>
    </row>
    <row r="1125" spans="1:8" hidden="1">
      <c r="A1125" s="2" t="s">
        <v>6</v>
      </c>
      <c r="B1125" s="2"/>
      <c r="C1125" s="2" t="s">
        <v>1125</v>
      </c>
      <c r="D1125" s="8">
        <v>45796</v>
      </c>
      <c r="E1125" s="8"/>
      <c r="F1125" s="8">
        <v>45808</v>
      </c>
      <c r="G1125" s="8">
        <v>45811</v>
      </c>
      <c r="H1125" s="2" t="s">
        <v>850</v>
      </c>
    </row>
    <row r="1126" spans="1:8" hidden="1">
      <c r="A1126" s="2" t="s">
        <v>6</v>
      </c>
      <c r="B1126" s="2"/>
      <c r="C1126" s="2" t="s">
        <v>1125</v>
      </c>
      <c r="D1126" s="8">
        <v>45796</v>
      </c>
      <c r="E1126" s="8"/>
      <c r="F1126" s="8">
        <v>45808</v>
      </c>
      <c r="G1126" s="8">
        <v>45811</v>
      </c>
      <c r="H1126" s="2" t="s">
        <v>851</v>
      </c>
    </row>
    <row r="1127" spans="1:8" hidden="1">
      <c r="A1127" s="2" t="s">
        <v>9</v>
      </c>
      <c r="B1127" s="2"/>
      <c r="C1127" s="2" t="s">
        <v>1071</v>
      </c>
      <c r="D1127" s="8">
        <v>45804</v>
      </c>
      <c r="E1127" s="8"/>
      <c r="F1127" s="8">
        <v>45807</v>
      </c>
      <c r="G1127" s="8">
        <v>45819</v>
      </c>
      <c r="H1127" s="2" t="s">
        <v>852</v>
      </c>
    </row>
    <row r="1128" spans="1:8" hidden="1">
      <c r="A1128" s="2" t="s">
        <v>9</v>
      </c>
      <c r="B1128" s="2"/>
      <c r="C1128" s="2" t="s">
        <v>1071</v>
      </c>
      <c r="D1128" s="8">
        <v>45804</v>
      </c>
      <c r="E1128" s="8"/>
      <c r="F1128" s="8">
        <v>45807</v>
      </c>
      <c r="G1128" s="8">
        <v>45819</v>
      </c>
      <c r="H1128" s="2" t="s">
        <v>853</v>
      </c>
    </row>
    <row r="1129" spans="1:8" hidden="1">
      <c r="A1129" s="2" t="s">
        <v>9</v>
      </c>
      <c r="B1129" s="2"/>
      <c r="C1129" s="2" t="s">
        <v>1129</v>
      </c>
      <c r="D1129" s="8">
        <v>45804</v>
      </c>
      <c r="E1129" s="8"/>
      <c r="F1129" s="8">
        <v>45807</v>
      </c>
      <c r="G1129" s="8">
        <v>45819</v>
      </c>
      <c r="H1129" s="2" t="s">
        <v>854</v>
      </c>
    </row>
    <row r="1130" spans="1:8" hidden="1">
      <c r="A1130" s="2" t="s">
        <v>9</v>
      </c>
      <c r="B1130" s="2"/>
      <c r="C1130" s="2" t="s">
        <v>1129</v>
      </c>
      <c r="D1130" s="8">
        <v>45804</v>
      </c>
      <c r="E1130" s="8"/>
      <c r="F1130" s="8">
        <v>45807</v>
      </c>
      <c r="G1130" s="8">
        <v>45819</v>
      </c>
      <c r="H1130" s="2" t="s">
        <v>855</v>
      </c>
    </row>
    <row r="1131" spans="1:8" hidden="1">
      <c r="A1131" s="2" t="s">
        <v>9</v>
      </c>
      <c r="B1131" s="2"/>
      <c r="C1131" s="2" t="s">
        <v>1129</v>
      </c>
      <c r="D1131" s="8">
        <v>45804</v>
      </c>
      <c r="E1131" s="8"/>
      <c r="F1131" s="8">
        <v>45807</v>
      </c>
      <c r="G1131" s="8">
        <v>45819</v>
      </c>
      <c r="H1131" s="2" t="s">
        <v>856</v>
      </c>
    </row>
    <row r="1132" spans="1:8" hidden="1">
      <c r="A1132" s="2" t="s">
        <v>9</v>
      </c>
      <c r="B1132" s="2"/>
      <c r="C1132" s="2" t="s">
        <v>1129</v>
      </c>
      <c r="D1132" s="8">
        <v>45804</v>
      </c>
      <c r="E1132" s="8"/>
      <c r="F1132" s="8">
        <v>45807</v>
      </c>
      <c r="G1132" s="8">
        <v>45819</v>
      </c>
      <c r="H1132" s="2" t="s">
        <v>857</v>
      </c>
    </row>
    <row r="1133" spans="1:8" hidden="1">
      <c r="A1133" s="2" t="s">
        <v>9</v>
      </c>
      <c r="B1133" s="2"/>
      <c r="C1133" s="2" t="s">
        <v>1129</v>
      </c>
      <c r="D1133" s="8">
        <v>45804</v>
      </c>
      <c r="E1133" s="8"/>
      <c r="F1133" s="8">
        <v>45807</v>
      </c>
      <c r="G1133" s="8">
        <v>45819</v>
      </c>
      <c r="H1133" s="2" t="s">
        <v>858</v>
      </c>
    </row>
    <row r="1134" spans="1:8" hidden="1">
      <c r="A1134" s="2" t="s">
        <v>9</v>
      </c>
      <c r="B1134" s="2"/>
      <c r="C1134" s="2" t="s">
        <v>1129</v>
      </c>
      <c r="D1134" s="8">
        <v>45804</v>
      </c>
      <c r="E1134" s="8"/>
      <c r="F1134" s="8">
        <v>45807</v>
      </c>
      <c r="G1134" s="8">
        <v>45819</v>
      </c>
      <c r="H1134" s="2" t="s">
        <v>859</v>
      </c>
    </row>
    <row r="1135" spans="1:8" hidden="1">
      <c r="A1135" s="2" t="s">
        <v>2</v>
      </c>
      <c r="B1135" s="2"/>
      <c r="C1135" s="2" t="s">
        <v>301</v>
      </c>
      <c r="D1135" s="8">
        <v>45804</v>
      </c>
      <c r="E1135" s="8"/>
      <c r="F1135" s="8">
        <v>45831</v>
      </c>
      <c r="G1135" s="8">
        <v>45819</v>
      </c>
      <c r="H1135" s="2" t="s">
        <v>860</v>
      </c>
    </row>
    <row r="1136" spans="1:8" hidden="1">
      <c r="A1136" s="2" t="s">
        <v>2</v>
      </c>
      <c r="B1136" s="2"/>
      <c r="C1136" s="2" t="s">
        <v>301</v>
      </c>
      <c r="D1136" s="8">
        <v>45803</v>
      </c>
      <c r="E1136" s="8"/>
      <c r="F1136" s="8">
        <v>45826</v>
      </c>
      <c r="G1136" s="8">
        <v>45818</v>
      </c>
      <c r="H1136" s="2" t="s">
        <v>861</v>
      </c>
    </row>
    <row r="1137" spans="1:8" hidden="1">
      <c r="A1137" s="2" t="s">
        <v>2</v>
      </c>
      <c r="B1137" s="2"/>
      <c r="C1137" s="2" t="s">
        <v>301</v>
      </c>
      <c r="D1137" s="8">
        <v>45803</v>
      </c>
      <c r="E1137" s="8"/>
      <c r="F1137" s="8">
        <v>45826</v>
      </c>
      <c r="G1137" s="8">
        <v>45818</v>
      </c>
      <c r="H1137" s="2" t="s">
        <v>862</v>
      </c>
    </row>
    <row r="1138" spans="1:8" hidden="1">
      <c r="A1138" s="2" t="s">
        <v>8</v>
      </c>
      <c r="B1138" s="2"/>
      <c r="C1138" s="2" t="s">
        <v>1131</v>
      </c>
      <c r="D1138" s="8">
        <v>45820</v>
      </c>
      <c r="E1138" s="8"/>
      <c r="F1138" s="8">
        <v>45830</v>
      </c>
      <c r="G1138" s="8">
        <v>45835</v>
      </c>
      <c r="H1138" s="2" t="s">
        <v>863</v>
      </c>
    </row>
    <row r="1139" spans="1:8" hidden="1">
      <c r="A1139" s="2" t="s">
        <v>8</v>
      </c>
      <c r="B1139" s="2"/>
      <c r="C1139" s="2" t="s">
        <v>1131</v>
      </c>
      <c r="D1139" s="8">
        <v>45820</v>
      </c>
      <c r="E1139" s="8"/>
      <c r="F1139" s="8">
        <v>45830</v>
      </c>
      <c r="G1139" s="8">
        <v>45835</v>
      </c>
      <c r="H1139" s="2" t="s">
        <v>864</v>
      </c>
    </row>
    <row r="1140" spans="1:8" hidden="1">
      <c r="A1140" s="2" t="s">
        <v>8</v>
      </c>
      <c r="B1140" s="2"/>
      <c r="C1140" s="2" t="s">
        <v>1131</v>
      </c>
      <c r="D1140" s="8">
        <v>45820</v>
      </c>
      <c r="E1140" s="8"/>
      <c r="F1140" s="8">
        <v>45832</v>
      </c>
      <c r="G1140" s="8">
        <v>45835</v>
      </c>
      <c r="H1140" s="2" t="s">
        <v>865</v>
      </c>
    </row>
    <row r="1141" spans="1:8" hidden="1">
      <c r="A1141" s="2" t="s">
        <v>8</v>
      </c>
      <c r="B1141" s="2"/>
      <c r="C1141" s="2" t="s">
        <v>1131</v>
      </c>
      <c r="D1141" s="8">
        <v>45820</v>
      </c>
      <c r="E1141" s="8"/>
      <c r="F1141" s="8">
        <v>45832</v>
      </c>
      <c r="G1141" s="8">
        <v>45835</v>
      </c>
      <c r="H1141" s="2" t="s">
        <v>866</v>
      </c>
    </row>
    <row r="1142" spans="1:8" hidden="1">
      <c r="A1142" s="2" t="s">
        <v>8</v>
      </c>
      <c r="B1142" s="2"/>
      <c r="C1142" s="2" t="s">
        <v>1131</v>
      </c>
      <c r="D1142" s="8">
        <v>45820</v>
      </c>
      <c r="E1142" s="8"/>
      <c r="F1142" s="8">
        <v>45830</v>
      </c>
      <c r="G1142" s="8">
        <v>45835</v>
      </c>
      <c r="H1142" s="2" t="s">
        <v>867</v>
      </c>
    </row>
    <row r="1143" spans="1:8" hidden="1">
      <c r="A1143" s="2" t="s">
        <v>8</v>
      </c>
      <c r="B1143" s="2"/>
      <c r="C1143" s="2" t="s">
        <v>1131</v>
      </c>
      <c r="D1143" s="8">
        <v>45820</v>
      </c>
      <c r="E1143" s="8"/>
      <c r="F1143" s="8">
        <v>45830</v>
      </c>
      <c r="G1143" s="8">
        <v>45835</v>
      </c>
      <c r="H1143" s="2" t="s">
        <v>868</v>
      </c>
    </row>
    <row r="1144" spans="1:8" hidden="1">
      <c r="A1144" s="2" t="s">
        <v>8</v>
      </c>
      <c r="B1144" s="2"/>
      <c r="C1144" s="2" t="s">
        <v>1131</v>
      </c>
      <c r="D1144" s="8">
        <v>45820</v>
      </c>
      <c r="E1144" s="8"/>
      <c r="F1144" s="8">
        <v>45830</v>
      </c>
      <c r="G1144" s="8">
        <v>45835</v>
      </c>
      <c r="H1144" s="2" t="s">
        <v>869</v>
      </c>
    </row>
    <row r="1145" spans="1:8" hidden="1">
      <c r="A1145" s="2" t="s">
        <v>8</v>
      </c>
      <c r="B1145" s="2"/>
      <c r="C1145" s="2" t="s">
        <v>1131</v>
      </c>
      <c r="D1145" s="8">
        <v>45820</v>
      </c>
      <c r="E1145" s="8"/>
      <c r="F1145" s="8">
        <v>45830</v>
      </c>
      <c r="G1145" s="8">
        <v>45835</v>
      </c>
      <c r="H1145" s="2" t="s">
        <v>870</v>
      </c>
    </row>
    <row r="1146" spans="1:8" hidden="1">
      <c r="A1146" s="2" t="s">
        <v>8</v>
      </c>
      <c r="B1146" s="2"/>
      <c r="C1146" s="2" t="s">
        <v>1131</v>
      </c>
      <c r="D1146" s="8">
        <v>45820</v>
      </c>
      <c r="E1146" s="8"/>
      <c r="F1146" s="8">
        <v>45830</v>
      </c>
      <c r="G1146" s="8">
        <v>45835</v>
      </c>
      <c r="H1146" s="2" t="s">
        <v>871</v>
      </c>
    </row>
    <row r="1147" spans="1:8" hidden="1">
      <c r="A1147" s="2" t="s">
        <v>8</v>
      </c>
      <c r="B1147" s="2"/>
      <c r="C1147" s="2" t="s">
        <v>1132</v>
      </c>
      <c r="D1147" s="8">
        <v>45827</v>
      </c>
      <c r="E1147" s="8"/>
      <c r="F1147" s="8">
        <v>45843</v>
      </c>
      <c r="G1147" s="8">
        <v>45842</v>
      </c>
      <c r="H1147" s="2" t="s">
        <v>872</v>
      </c>
    </row>
    <row r="1148" spans="1:8" hidden="1">
      <c r="A1148" s="2" t="s">
        <v>8</v>
      </c>
      <c r="B1148" s="2"/>
      <c r="C1148" s="2" t="s">
        <v>1036</v>
      </c>
      <c r="D1148" s="8">
        <v>45827</v>
      </c>
      <c r="E1148" s="8"/>
      <c r="F1148" s="8">
        <v>45843</v>
      </c>
      <c r="G1148" s="8">
        <v>45842</v>
      </c>
      <c r="H1148" s="2" t="s">
        <v>873</v>
      </c>
    </row>
    <row r="1149" spans="1:8" hidden="1">
      <c r="A1149" s="2" t="s">
        <v>2</v>
      </c>
      <c r="B1149" s="2"/>
      <c r="C1149" s="2" t="s">
        <v>312</v>
      </c>
      <c r="D1149" s="8">
        <v>45827</v>
      </c>
      <c r="E1149" s="8"/>
      <c r="F1149" s="8">
        <v>45887</v>
      </c>
      <c r="G1149" s="8">
        <v>45842</v>
      </c>
      <c r="H1149" s="2" t="s">
        <v>874</v>
      </c>
    </row>
    <row r="1150" spans="1:8" hidden="1">
      <c r="A1150" s="2" t="s">
        <v>8</v>
      </c>
      <c r="B1150" s="2"/>
      <c r="C1150" s="2" t="s">
        <v>1127</v>
      </c>
      <c r="D1150" s="8">
        <v>45827</v>
      </c>
      <c r="E1150" s="8"/>
      <c r="F1150" s="8">
        <v>45843</v>
      </c>
      <c r="G1150" s="8">
        <v>45842</v>
      </c>
      <c r="H1150" s="2" t="s">
        <v>875</v>
      </c>
    </row>
    <row r="1151" spans="1:8" hidden="1">
      <c r="A1151" s="2" t="s">
        <v>8</v>
      </c>
      <c r="B1151" s="2"/>
      <c r="C1151" s="2" t="s">
        <v>1127</v>
      </c>
      <c r="D1151" s="8">
        <v>45827</v>
      </c>
      <c r="E1151" s="8"/>
      <c r="F1151" s="8">
        <v>45843</v>
      </c>
      <c r="G1151" s="8">
        <v>45842</v>
      </c>
      <c r="H1151" s="2" t="s">
        <v>876</v>
      </c>
    </row>
    <row r="1152" spans="1:8" hidden="1">
      <c r="A1152" s="2" t="s">
        <v>8</v>
      </c>
      <c r="B1152" s="2"/>
      <c r="C1152" s="2" t="s">
        <v>1127</v>
      </c>
      <c r="D1152" s="8">
        <v>45827</v>
      </c>
      <c r="E1152" s="8"/>
      <c r="F1152" s="8">
        <v>45843</v>
      </c>
      <c r="G1152" s="8">
        <v>45842</v>
      </c>
      <c r="H1152" s="2" t="s">
        <v>877</v>
      </c>
    </row>
    <row r="1153" spans="1:8" hidden="1">
      <c r="A1153" s="2" t="s">
        <v>6</v>
      </c>
      <c r="B1153" s="2"/>
      <c r="C1153" s="2" t="s">
        <v>1133</v>
      </c>
      <c r="D1153" s="8">
        <v>45820</v>
      </c>
      <c r="E1153" s="8"/>
      <c r="F1153" s="8">
        <v>45889</v>
      </c>
      <c r="G1153" s="8">
        <v>45835</v>
      </c>
      <c r="H1153" s="2" t="s">
        <v>878</v>
      </c>
    </row>
    <row r="1154" spans="1:8" hidden="1">
      <c r="A1154" s="2" t="s">
        <v>2</v>
      </c>
      <c r="B1154" s="2"/>
      <c r="C1154" s="2" t="s">
        <v>301</v>
      </c>
      <c r="D1154" s="8">
        <v>45832</v>
      </c>
      <c r="E1154" s="8"/>
      <c r="F1154" s="8">
        <v>45866</v>
      </c>
      <c r="G1154" s="8">
        <v>45847</v>
      </c>
      <c r="H1154" s="2" t="s">
        <v>879</v>
      </c>
    </row>
    <row r="1155" spans="1:8" hidden="1">
      <c r="A1155" s="2" t="s">
        <v>8</v>
      </c>
      <c r="B1155" s="2"/>
      <c r="C1155" s="2" t="s">
        <v>1134</v>
      </c>
      <c r="D1155" s="8">
        <v>45831</v>
      </c>
      <c r="E1155" s="8"/>
      <c r="F1155" s="8">
        <v>45848</v>
      </c>
      <c r="G1155" s="8">
        <v>45846</v>
      </c>
      <c r="H1155" s="2" t="s">
        <v>880</v>
      </c>
    </row>
    <row r="1156" spans="1:8" hidden="1">
      <c r="A1156" s="2" t="s">
        <v>8</v>
      </c>
      <c r="B1156" s="2"/>
      <c r="C1156" s="2" t="s">
        <v>1058</v>
      </c>
      <c r="D1156" s="8">
        <v>45831</v>
      </c>
      <c r="E1156" s="8"/>
      <c r="F1156" s="8">
        <v>45848</v>
      </c>
      <c r="G1156" s="8">
        <v>45846</v>
      </c>
      <c r="H1156" s="2" t="s">
        <v>881</v>
      </c>
    </row>
    <row r="1157" spans="1:8" hidden="1">
      <c r="A1157" s="2" t="s">
        <v>8</v>
      </c>
      <c r="B1157" s="2"/>
      <c r="C1157" s="2" t="s">
        <v>1135</v>
      </c>
      <c r="D1157" s="8">
        <v>45833</v>
      </c>
      <c r="E1157" s="8"/>
      <c r="F1157" s="8">
        <v>45835</v>
      </c>
      <c r="G1157" s="8">
        <v>45848</v>
      </c>
      <c r="H1157" s="2" t="s">
        <v>882</v>
      </c>
    </row>
    <row r="1158" spans="1:8" hidden="1">
      <c r="A1158" s="2" t="s">
        <v>2</v>
      </c>
      <c r="B1158" s="2"/>
      <c r="C1158" s="2" t="s">
        <v>1136</v>
      </c>
      <c r="D1158" s="8">
        <v>45839</v>
      </c>
      <c r="E1158" s="8"/>
      <c r="F1158" s="8">
        <v>45869</v>
      </c>
      <c r="G1158" s="8">
        <v>45854</v>
      </c>
      <c r="H1158" s="2" t="s">
        <v>883</v>
      </c>
    </row>
    <row r="1159" spans="1:8" hidden="1">
      <c r="A1159" s="2" t="s">
        <v>2</v>
      </c>
      <c r="B1159" s="2"/>
      <c r="C1159" s="2" t="s">
        <v>1136</v>
      </c>
      <c r="D1159" s="8">
        <v>45832</v>
      </c>
      <c r="E1159" s="8"/>
      <c r="F1159" s="8">
        <v>45865</v>
      </c>
      <c r="G1159" s="8">
        <v>45847</v>
      </c>
      <c r="H1159" s="2" t="s">
        <v>884</v>
      </c>
    </row>
    <row r="1160" spans="1:8" hidden="1">
      <c r="A1160" s="2" t="s">
        <v>9</v>
      </c>
      <c r="B1160" s="2"/>
      <c r="C1160" s="2" t="s">
        <v>1071</v>
      </c>
      <c r="D1160" s="8">
        <v>45842</v>
      </c>
      <c r="E1160" s="8"/>
      <c r="F1160" s="8">
        <v>45868</v>
      </c>
      <c r="G1160" s="8">
        <v>45857</v>
      </c>
      <c r="H1160" s="2" t="s">
        <v>885</v>
      </c>
    </row>
    <row r="1161" spans="1:8" hidden="1">
      <c r="A1161" s="2" t="s">
        <v>9</v>
      </c>
      <c r="B1161" s="2"/>
      <c r="C1161" s="2" t="s">
        <v>1071</v>
      </c>
      <c r="D1161" s="8">
        <v>45842</v>
      </c>
      <c r="E1161" s="8"/>
      <c r="F1161" s="8">
        <v>45868</v>
      </c>
      <c r="G1161" s="8">
        <v>45857</v>
      </c>
      <c r="H1161" s="2" t="s">
        <v>886</v>
      </c>
    </row>
    <row r="1162" spans="1:8" hidden="1">
      <c r="A1162" s="2" t="s">
        <v>2</v>
      </c>
      <c r="B1162" s="2"/>
      <c r="C1162" s="2" t="s">
        <v>301</v>
      </c>
      <c r="D1162" s="8">
        <v>45832</v>
      </c>
      <c r="E1162" s="8"/>
      <c r="F1162" s="8">
        <v>45866</v>
      </c>
      <c r="G1162" s="8">
        <v>45847</v>
      </c>
      <c r="H1162" s="2" t="s">
        <v>887</v>
      </c>
    </row>
    <row r="1163" spans="1:8" hidden="1">
      <c r="A1163" s="2" t="s">
        <v>2</v>
      </c>
      <c r="B1163" s="2"/>
      <c r="C1163" s="2" t="s">
        <v>312</v>
      </c>
      <c r="D1163" s="8">
        <v>45827</v>
      </c>
      <c r="E1163" s="8"/>
      <c r="F1163" s="8">
        <v>45888</v>
      </c>
      <c r="G1163" s="8">
        <v>45842</v>
      </c>
      <c r="H1163" s="2" t="s">
        <v>888</v>
      </c>
    </row>
    <row r="1164" spans="1:8" hidden="1">
      <c r="A1164" s="2" t="s">
        <v>2</v>
      </c>
      <c r="B1164" s="2"/>
      <c r="C1164" s="2" t="s">
        <v>312</v>
      </c>
      <c r="D1164" s="8">
        <v>45827</v>
      </c>
      <c r="E1164" s="8"/>
      <c r="F1164" s="8">
        <v>45888</v>
      </c>
      <c r="G1164" s="8">
        <v>45842</v>
      </c>
      <c r="H1164" s="2" t="s">
        <v>889</v>
      </c>
    </row>
    <row r="1165" spans="1:8" hidden="1">
      <c r="A1165" s="2" t="s">
        <v>2</v>
      </c>
      <c r="B1165" s="2"/>
      <c r="C1165" s="2" t="s">
        <v>312</v>
      </c>
      <c r="D1165" s="8">
        <v>45827</v>
      </c>
      <c r="E1165" s="8"/>
      <c r="F1165" s="8">
        <v>45888</v>
      </c>
      <c r="G1165" s="8">
        <v>45842</v>
      </c>
      <c r="H1165" s="2" t="s">
        <v>890</v>
      </c>
    </row>
    <row r="1166" spans="1:8" hidden="1">
      <c r="A1166" s="2" t="s">
        <v>2</v>
      </c>
      <c r="B1166" s="2"/>
      <c r="C1166" s="2" t="s">
        <v>1137</v>
      </c>
      <c r="D1166" s="8">
        <v>45847</v>
      </c>
      <c r="E1166" s="8"/>
      <c r="F1166" s="8">
        <v>45869</v>
      </c>
      <c r="G1166" s="8">
        <v>45862</v>
      </c>
      <c r="H1166" s="2" t="s">
        <v>891</v>
      </c>
    </row>
    <row r="1167" spans="1:8" hidden="1">
      <c r="A1167" s="2" t="s">
        <v>2</v>
      </c>
      <c r="B1167" s="2"/>
      <c r="C1167" s="2" t="s">
        <v>1136</v>
      </c>
      <c r="D1167" s="8">
        <v>45849</v>
      </c>
      <c r="E1167" s="8"/>
      <c r="F1167" s="8">
        <v>45879</v>
      </c>
      <c r="G1167" s="8">
        <v>45864</v>
      </c>
      <c r="H1167" s="2" t="s">
        <v>892</v>
      </c>
    </row>
    <row r="1168" spans="1:8" hidden="1">
      <c r="A1168" s="2" t="s">
        <v>2</v>
      </c>
      <c r="B1168" s="2"/>
      <c r="C1168" s="2" t="s">
        <v>1136</v>
      </c>
      <c r="D1168" s="8">
        <v>45849</v>
      </c>
      <c r="E1168" s="8"/>
      <c r="F1168" s="8">
        <v>45879</v>
      </c>
      <c r="G1168" s="8">
        <v>45864</v>
      </c>
      <c r="H1168" s="2" t="s">
        <v>893</v>
      </c>
    </row>
    <row r="1169" spans="1:8" hidden="1">
      <c r="A1169" s="2" t="s">
        <v>2</v>
      </c>
      <c r="B1169" s="2"/>
      <c r="C1169" s="2" t="s">
        <v>1138</v>
      </c>
      <c r="D1169" s="8">
        <v>45849</v>
      </c>
      <c r="E1169" s="8"/>
      <c r="F1169" s="8">
        <v>45879</v>
      </c>
      <c r="G1169" s="8">
        <v>45864</v>
      </c>
      <c r="H1169" s="2" t="s">
        <v>894</v>
      </c>
    </row>
    <row r="1170" spans="1:8" hidden="1">
      <c r="A1170" s="2" t="s">
        <v>2</v>
      </c>
      <c r="B1170" s="2"/>
      <c r="C1170" s="2" t="s">
        <v>312</v>
      </c>
      <c r="D1170" s="8">
        <v>45862</v>
      </c>
      <c r="E1170" s="8"/>
      <c r="F1170" s="8">
        <v>45889</v>
      </c>
      <c r="G1170" s="8">
        <v>45877</v>
      </c>
      <c r="H1170" s="2" t="s">
        <v>895</v>
      </c>
    </row>
    <row r="1171" spans="1:8" hidden="1">
      <c r="A1171" s="2" t="s">
        <v>2</v>
      </c>
      <c r="B1171" s="2"/>
      <c r="C1171" s="2" t="s">
        <v>1136</v>
      </c>
      <c r="D1171" s="8">
        <v>45862</v>
      </c>
      <c r="E1171" s="8"/>
      <c r="F1171" s="8">
        <v>45889</v>
      </c>
      <c r="G1171" s="8">
        <v>45877</v>
      </c>
      <c r="H1171" s="2" t="s">
        <v>896</v>
      </c>
    </row>
    <row r="1172" spans="1:8" hidden="1">
      <c r="A1172" s="2" t="s">
        <v>2</v>
      </c>
      <c r="B1172" s="2"/>
      <c r="C1172" s="2" t="s">
        <v>1138</v>
      </c>
      <c r="D1172" s="8">
        <v>45862</v>
      </c>
      <c r="E1172" s="8"/>
      <c r="F1172" s="8">
        <v>45889</v>
      </c>
      <c r="G1172" s="8">
        <v>45877</v>
      </c>
      <c r="H1172" s="2" t="s">
        <v>897</v>
      </c>
    </row>
    <row r="1173" spans="1:8" hidden="1">
      <c r="A1173" s="2" t="s">
        <v>2</v>
      </c>
      <c r="B1173" s="2"/>
      <c r="C1173" s="2" t="s">
        <v>298</v>
      </c>
      <c r="D1173" s="8">
        <v>45867</v>
      </c>
      <c r="E1173" s="8"/>
      <c r="F1173" s="8">
        <v>45894</v>
      </c>
      <c r="G1173" s="8">
        <v>45882</v>
      </c>
      <c r="H1173" s="2" t="s">
        <v>898</v>
      </c>
    </row>
    <row r="1174" spans="1:8" hidden="1">
      <c r="A1174" s="2" t="s">
        <v>2</v>
      </c>
      <c r="B1174" s="2"/>
      <c r="C1174" s="2" t="s">
        <v>298</v>
      </c>
      <c r="D1174" s="8">
        <v>45867</v>
      </c>
      <c r="E1174" s="8"/>
      <c r="F1174" s="8">
        <v>45894</v>
      </c>
      <c r="G1174" s="8">
        <v>45882</v>
      </c>
      <c r="H1174" s="2" t="s">
        <v>899</v>
      </c>
    </row>
    <row r="1175" spans="1:8" hidden="1">
      <c r="A1175" s="2" t="s">
        <v>9</v>
      </c>
      <c r="B1175" s="2"/>
      <c r="C1175" s="2" t="s">
        <v>1135</v>
      </c>
      <c r="D1175" s="8">
        <v>45867</v>
      </c>
      <c r="E1175" s="8"/>
      <c r="F1175" s="8">
        <v>45898</v>
      </c>
      <c r="G1175" s="8">
        <v>45882</v>
      </c>
      <c r="H1175" s="2" t="s">
        <v>900</v>
      </c>
    </row>
    <row r="1176" spans="1:8" hidden="1">
      <c r="A1176" s="2" t="s">
        <v>9</v>
      </c>
      <c r="B1176" s="2"/>
      <c r="C1176" s="2" t="s">
        <v>1036</v>
      </c>
      <c r="D1176" s="8">
        <v>45867</v>
      </c>
      <c r="E1176" s="8"/>
      <c r="F1176" s="8">
        <v>45898</v>
      </c>
      <c r="G1176" s="8">
        <v>45882</v>
      </c>
      <c r="H1176" s="2" t="s">
        <v>901</v>
      </c>
    </row>
    <row r="1177" spans="1:8" hidden="1">
      <c r="A1177" s="2" t="s">
        <v>2</v>
      </c>
      <c r="B1177" s="2"/>
      <c r="C1177" s="2" t="s">
        <v>1138</v>
      </c>
      <c r="D1177" s="8">
        <v>45866</v>
      </c>
      <c r="E1177" s="8"/>
      <c r="F1177" s="8">
        <v>45900</v>
      </c>
      <c r="G1177" s="8">
        <v>45881</v>
      </c>
      <c r="H1177" s="2" t="s">
        <v>902</v>
      </c>
    </row>
    <row r="1178" spans="1:8" hidden="1">
      <c r="A1178" s="2" t="s">
        <v>2</v>
      </c>
      <c r="B1178" s="2"/>
      <c r="C1178" s="2" t="s">
        <v>301</v>
      </c>
      <c r="D1178" s="8">
        <v>45866</v>
      </c>
      <c r="E1178" s="8"/>
      <c r="F1178" s="8">
        <v>45900</v>
      </c>
      <c r="G1178" s="8">
        <v>45881</v>
      </c>
      <c r="H1178" s="2" t="s">
        <v>903</v>
      </c>
    </row>
    <row r="1179" spans="1:8" hidden="1">
      <c r="A1179" s="2" t="s">
        <v>2</v>
      </c>
      <c r="B1179" s="2"/>
      <c r="C1179" s="2" t="s">
        <v>1138</v>
      </c>
      <c r="D1179" s="8">
        <v>45866</v>
      </c>
      <c r="E1179" s="8"/>
      <c r="F1179" s="8">
        <v>45900</v>
      </c>
      <c r="G1179" s="8">
        <v>45881</v>
      </c>
      <c r="H1179" s="2" t="s">
        <v>904</v>
      </c>
    </row>
    <row r="1180" spans="1:8" hidden="1">
      <c r="A1180" s="2" t="s">
        <v>2</v>
      </c>
      <c r="B1180" s="2"/>
      <c r="C1180" s="2" t="s">
        <v>301</v>
      </c>
      <c r="D1180" s="8">
        <v>45866</v>
      </c>
      <c r="E1180" s="8"/>
      <c r="F1180" s="8">
        <v>45900</v>
      </c>
      <c r="G1180" s="8">
        <v>45881</v>
      </c>
      <c r="H1180" s="2" t="s">
        <v>905</v>
      </c>
    </row>
    <row r="1181" spans="1:8" hidden="1">
      <c r="A1181" s="2" t="s">
        <v>2</v>
      </c>
      <c r="B1181" s="2"/>
      <c r="C1181" s="2" t="s">
        <v>301</v>
      </c>
      <c r="D1181" s="8">
        <v>45866</v>
      </c>
      <c r="E1181" s="8"/>
      <c r="F1181" s="8">
        <v>45900</v>
      </c>
      <c r="G1181" s="8">
        <v>45881</v>
      </c>
      <c r="H1181" s="2" t="s">
        <v>906</v>
      </c>
    </row>
    <row r="1182" spans="1:8" hidden="1">
      <c r="A1182" s="2" t="s">
        <v>2</v>
      </c>
      <c r="B1182" s="2"/>
      <c r="C1182" s="2" t="s">
        <v>298</v>
      </c>
      <c r="D1182" s="8">
        <v>45862</v>
      </c>
      <c r="E1182" s="8"/>
      <c r="F1182" s="8">
        <v>45889</v>
      </c>
      <c r="G1182" s="8">
        <v>45877</v>
      </c>
      <c r="H1182" s="2" t="s">
        <v>907</v>
      </c>
    </row>
    <row r="1183" spans="1:8" hidden="1">
      <c r="A1183" s="2" t="s">
        <v>2</v>
      </c>
      <c r="B1183" s="2"/>
      <c r="C1183" s="2" t="s">
        <v>1136</v>
      </c>
      <c r="D1183" s="8">
        <v>45867</v>
      </c>
      <c r="E1183" s="8"/>
      <c r="F1183" s="8">
        <v>45889</v>
      </c>
      <c r="G1183" s="8">
        <v>45882</v>
      </c>
      <c r="H1183" s="2" t="s">
        <v>908</v>
      </c>
    </row>
    <row r="1184" spans="1:8" hidden="1">
      <c r="A1184" s="2" t="s">
        <v>2</v>
      </c>
      <c r="B1184" s="2"/>
      <c r="C1184" s="2" t="s">
        <v>1139</v>
      </c>
      <c r="D1184" s="8">
        <v>45867</v>
      </c>
      <c r="E1184" s="8"/>
      <c r="F1184" s="8">
        <v>45889</v>
      </c>
      <c r="G1184" s="8">
        <v>45882</v>
      </c>
      <c r="H1184" s="2" t="s">
        <v>909</v>
      </c>
    </row>
    <row r="1185" spans="1:8" hidden="1">
      <c r="A1185" s="2" t="s">
        <v>2</v>
      </c>
      <c r="B1185" s="2"/>
      <c r="C1185" s="2" t="s">
        <v>1138</v>
      </c>
      <c r="D1185" s="8">
        <v>45867</v>
      </c>
      <c r="E1185" s="8"/>
      <c r="F1185" s="8">
        <v>45889</v>
      </c>
      <c r="G1185" s="8">
        <v>45882</v>
      </c>
      <c r="H1185" s="2" t="s">
        <v>910</v>
      </c>
    </row>
    <row r="1186" spans="1:8" hidden="1">
      <c r="A1186" s="2" t="s">
        <v>2</v>
      </c>
      <c r="B1186" s="2"/>
      <c r="C1186" s="2" t="s">
        <v>1138</v>
      </c>
      <c r="D1186" s="8">
        <v>45867</v>
      </c>
      <c r="E1186" s="8"/>
      <c r="F1186" s="8">
        <v>45889</v>
      </c>
      <c r="G1186" s="8">
        <v>45882</v>
      </c>
      <c r="H1186" s="2" t="s">
        <v>911</v>
      </c>
    </row>
    <row r="1187" spans="1:8" hidden="1">
      <c r="A1187" s="2" t="s">
        <v>2</v>
      </c>
      <c r="B1187" s="2"/>
      <c r="C1187" s="2" t="s">
        <v>1138</v>
      </c>
      <c r="D1187" s="8">
        <v>45867</v>
      </c>
      <c r="E1187" s="8"/>
      <c r="F1187" s="8">
        <v>45889</v>
      </c>
      <c r="G1187" s="8">
        <v>45882</v>
      </c>
      <c r="H1187" s="2" t="s">
        <v>912</v>
      </c>
    </row>
    <row r="1188" spans="1:8" hidden="1">
      <c r="A1188" s="2" t="s">
        <v>2</v>
      </c>
      <c r="B1188" s="2"/>
      <c r="C1188" s="2" t="s">
        <v>1138</v>
      </c>
      <c r="D1188" s="8">
        <v>45867</v>
      </c>
      <c r="E1188" s="8"/>
      <c r="F1188" s="8">
        <v>45889</v>
      </c>
      <c r="G1188" s="8">
        <v>45882</v>
      </c>
      <c r="H1188" s="2" t="s">
        <v>913</v>
      </c>
    </row>
    <row r="1189" spans="1:8" hidden="1">
      <c r="A1189" s="2" t="s">
        <v>2</v>
      </c>
      <c r="B1189" s="2"/>
      <c r="C1189" s="2" t="s">
        <v>1136</v>
      </c>
      <c r="D1189" s="8">
        <v>45867</v>
      </c>
      <c r="E1189" s="8"/>
      <c r="F1189" s="8">
        <v>45879</v>
      </c>
      <c r="G1189" s="8">
        <v>45882</v>
      </c>
      <c r="H1189" s="2" t="s">
        <v>914</v>
      </c>
    </row>
    <row r="1190" spans="1:8" hidden="1">
      <c r="A1190" s="2" t="s">
        <v>9</v>
      </c>
      <c r="B1190" s="2"/>
      <c r="C1190" s="2" t="s">
        <v>1138</v>
      </c>
      <c r="D1190" s="8">
        <v>45867</v>
      </c>
      <c r="E1190" s="8"/>
      <c r="F1190" s="8">
        <v>45894</v>
      </c>
      <c r="G1190" s="8">
        <v>45882</v>
      </c>
      <c r="H1190" s="2" t="s">
        <v>915</v>
      </c>
    </row>
    <row r="1191" spans="1:8" hidden="1">
      <c r="A1191" s="2" t="s">
        <v>9</v>
      </c>
      <c r="B1191" s="2"/>
      <c r="C1191" s="2" t="s">
        <v>1138</v>
      </c>
      <c r="D1191" s="8">
        <v>45867</v>
      </c>
      <c r="E1191" s="8"/>
      <c r="F1191" s="8">
        <v>45894</v>
      </c>
      <c r="G1191" s="8">
        <v>45882</v>
      </c>
      <c r="H1191" s="2" t="s">
        <v>916</v>
      </c>
    </row>
    <row r="1192" spans="1:8" hidden="1">
      <c r="A1192" s="2" t="s">
        <v>9</v>
      </c>
      <c r="B1192" s="2"/>
      <c r="C1192" s="2" t="s">
        <v>1140</v>
      </c>
      <c r="D1192" s="8">
        <v>45867</v>
      </c>
      <c r="E1192" s="8"/>
      <c r="F1192" s="8">
        <v>45894</v>
      </c>
      <c r="G1192" s="8">
        <v>45882</v>
      </c>
      <c r="H1192" s="2" t="s">
        <v>917</v>
      </c>
    </row>
    <row r="1193" spans="1:8" hidden="1">
      <c r="A1193" s="2" t="s">
        <v>9</v>
      </c>
      <c r="B1193" s="2"/>
      <c r="C1193" s="2" t="s">
        <v>1102</v>
      </c>
      <c r="D1193" s="8">
        <v>45889</v>
      </c>
      <c r="E1193" s="8"/>
      <c r="F1193" s="8">
        <v>45910</v>
      </c>
      <c r="G1193" s="8">
        <v>45904</v>
      </c>
      <c r="H1193" s="2" t="s">
        <v>918</v>
      </c>
    </row>
    <row r="1194" spans="1:8" hidden="1">
      <c r="A1194" s="2" t="s">
        <v>9</v>
      </c>
      <c r="B1194" s="2"/>
      <c r="C1194" s="2" t="s">
        <v>1135</v>
      </c>
      <c r="D1194" s="8">
        <v>45889</v>
      </c>
      <c r="E1194" s="8"/>
      <c r="F1194" s="8">
        <v>45910</v>
      </c>
      <c r="G1194" s="8">
        <v>45904</v>
      </c>
      <c r="H1194" s="2" t="s">
        <v>919</v>
      </c>
    </row>
    <row r="1195" spans="1:8" hidden="1">
      <c r="A1195" s="2" t="s">
        <v>9</v>
      </c>
      <c r="B1195" s="2"/>
      <c r="C1195" s="2" t="s">
        <v>1036</v>
      </c>
      <c r="D1195" s="8">
        <v>45890</v>
      </c>
      <c r="E1195" s="8"/>
      <c r="F1195" s="8">
        <v>45910</v>
      </c>
      <c r="G1195" s="8">
        <v>45905</v>
      </c>
      <c r="H1195" s="2" t="s">
        <v>920</v>
      </c>
    </row>
    <row r="1196" spans="1:8" hidden="1">
      <c r="A1196" s="2" t="s">
        <v>10</v>
      </c>
      <c r="B1196" s="2"/>
      <c r="C1196" s="2" t="s">
        <v>1078</v>
      </c>
      <c r="D1196" s="8">
        <v>45895</v>
      </c>
      <c r="E1196" s="8"/>
      <c r="F1196" s="8">
        <v>45929</v>
      </c>
      <c r="G1196" s="8">
        <v>45910</v>
      </c>
      <c r="H1196" s="2" t="s">
        <v>921</v>
      </c>
    </row>
    <row r="1197" spans="1:8" hidden="1">
      <c r="A1197" s="2" t="s">
        <v>10</v>
      </c>
      <c r="B1197" s="2"/>
      <c r="C1197" s="2" t="s">
        <v>1078</v>
      </c>
      <c r="D1197" s="8">
        <v>45895</v>
      </c>
      <c r="E1197" s="8"/>
      <c r="F1197" s="8">
        <v>45929</v>
      </c>
      <c r="G1197" s="8">
        <v>45910</v>
      </c>
      <c r="H1197" s="2" t="s">
        <v>922</v>
      </c>
    </row>
    <row r="1198" spans="1:8" hidden="1">
      <c r="A1198" s="2" t="s">
        <v>10</v>
      </c>
      <c r="B1198" s="2"/>
      <c r="C1198" s="2" t="s">
        <v>1078</v>
      </c>
      <c r="D1198" s="8">
        <v>45895</v>
      </c>
      <c r="E1198" s="8"/>
      <c r="F1198" s="8">
        <v>45929</v>
      </c>
      <c r="G1198" s="8">
        <v>45910</v>
      </c>
      <c r="H1198" s="2" t="s">
        <v>923</v>
      </c>
    </row>
    <row r="1199" spans="1:8" hidden="1">
      <c r="A1199" s="2" t="s">
        <v>10</v>
      </c>
      <c r="B1199" s="2"/>
      <c r="C1199" s="2" t="s">
        <v>1078</v>
      </c>
      <c r="D1199" s="8">
        <v>45895</v>
      </c>
      <c r="E1199" s="8"/>
      <c r="F1199" s="8">
        <v>45929</v>
      </c>
      <c r="G1199" s="8">
        <v>45910</v>
      </c>
      <c r="H1199" s="2" t="s">
        <v>924</v>
      </c>
    </row>
    <row r="1200" spans="1:8" hidden="1">
      <c r="A1200" s="2" t="s">
        <v>10</v>
      </c>
      <c r="B1200" s="2"/>
      <c r="C1200" s="2" t="s">
        <v>1078</v>
      </c>
      <c r="D1200" s="8">
        <v>45895</v>
      </c>
      <c r="E1200" s="8"/>
      <c r="F1200" s="8">
        <v>45929</v>
      </c>
      <c r="G1200" s="8">
        <v>45910</v>
      </c>
      <c r="H1200" s="2" t="s">
        <v>925</v>
      </c>
    </row>
    <row r="1201" spans="1:8" hidden="1">
      <c r="A1201" s="2" t="s">
        <v>10</v>
      </c>
      <c r="B1201" s="2"/>
      <c r="C1201" s="2" t="s">
        <v>1078</v>
      </c>
      <c r="D1201" s="8">
        <v>45895</v>
      </c>
      <c r="E1201" s="8"/>
      <c r="F1201" s="8">
        <v>45929</v>
      </c>
      <c r="G1201" s="8">
        <v>45910</v>
      </c>
      <c r="H1201" s="2" t="s">
        <v>926</v>
      </c>
    </row>
    <row r="1202" spans="1:8" hidden="1">
      <c r="A1202" s="2" t="s">
        <v>10</v>
      </c>
      <c r="B1202" s="2"/>
      <c r="C1202" s="2" t="s">
        <v>1078</v>
      </c>
      <c r="D1202" s="8">
        <v>45895</v>
      </c>
      <c r="E1202" s="8"/>
      <c r="F1202" s="8">
        <v>45929</v>
      </c>
      <c r="G1202" s="8">
        <v>45910</v>
      </c>
      <c r="H1202" s="2" t="s">
        <v>927</v>
      </c>
    </row>
    <row r="1203" spans="1:8" hidden="1">
      <c r="A1203" s="2" t="s">
        <v>10</v>
      </c>
      <c r="B1203" s="2"/>
      <c r="C1203" s="2" t="s">
        <v>1078</v>
      </c>
      <c r="D1203" s="8">
        <v>45895</v>
      </c>
      <c r="E1203" s="8"/>
      <c r="F1203" s="8">
        <v>45929</v>
      </c>
      <c r="G1203" s="8">
        <v>45910</v>
      </c>
      <c r="H1203" s="2" t="s">
        <v>928</v>
      </c>
    </row>
    <row r="1204" spans="1:8" hidden="1">
      <c r="A1204" s="2" t="s">
        <v>10</v>
      </c>
      <c r="B1204" s="2"/>
      <c r="C1204" s="2" t="s">
        <v>1078</v>
      </c>
      <c r="D1204" s="8">
        <v>45895</v>
      </c>
      <c r="E1204" s="8"/>
      <c r="F1204" s="8">
        <v>45929</v>
      </c>
      <c r="G1204" s="8">
        <v>45910</v>
      </c>
      <c r="H1204" s="2" t="s">
        <v>929</v>
      </c>
    </row>
    <row r="1205" spans="1:8" hidden="1">
      <c r="A1205" s="2" t="s">
        <v>10</v>
      </c>
      <c r="B1205" s="2"/>
      <c r="C1205" s="2" t="s">
        <v>1078</v>
      </c>
      <c r="D1205" s="8">
        <v>45895</v>
      </c>
      <c r="E1205" s="8"/>
      <c r="F1205" s="8">
        <v>45929</v>
      </c>
      <c r="G1205" s="8">
        <v>45910</v>
      </c>
      <c r="H1205" s="2" t="s">
        <v>928</v>
      </c>
    </row>
    <row r="1206" spans="1:8" hidden="1">
      <c r="A1206" s="2" t="s">
        <v>10</v>
      </c>
      <c r="B1206" s="2"/>
      <c r="C1206" s="2" t="s">
        <v>1078</v>
      </c>
      <c r="D1206" s="8">
        <v>45895</v>
      </c>
      <c r="E1206" s="8"/>
      <c r="F1206" s="8">
        <v>45929</v>
      </c>
      <c r="G1206" s="8">
        <v>45910</v>
      </c>
      <c r="H1206" s="2" t="s">
        <v>928</v>
      </c>
    </row>
    <row r="1207" spans="1:8" hidden="1">
      <c r="A1207" s="2" t="s">
        <v>10</v>
      </c>
      <c r="B1207" s="2"/>
      <c r="C1207" s="2" t="s">
        <v>1078</v>
      </c>
      <c r="D1207" s="8">
        <v>45895</v>
      </c>
      <c r="E1207" s="8"/>
      <c r="F1207" s="8">
        <v>45929</v>
      </c>
      <c r="G1207" s="8">
        <v>45910</v>
      </c>
      <c r="H1207" s="2" t="s">
        <v>930</v>
      </c>
    </row>
    <row r="1208" spans="1:8" hidden="1">
      <c r="A1208" s="2" t="s">
        <v>10</v>
      </c>
      <c r="B1208" s="2"/>
      <c r="C1208" s="2" t="s">
        <v>1078</v>
      </c>
      <c r="D1208" s="8">
        <v>45895</v>
      </c>
      <c r="E1208" s="8"/>
      <c r="F1208" s="8">
        <v>45929</v>
      </c>
      <c r="G1208" s="8">
        <v>45910</v>
      </c>
      <c r="H1208" s="2" t="s">
        <v>931</v>
      </c>
    </row>
    <row r="1209" spans="1:8" hidden="1">
      <c r="A1209" s="2" t="s">
        <v>10</v>
      </c>
      <c r="B1209" s="2"/>
      <c r="C1209" s="2" t="s">
        <v>1078</v>
      </c>
      <c r="D1209" s="8">
        <v>45895</v>
      </c>
      <c r="E1209" s="8"/>
      <c r="F1209" s="8">
        <v>45929</v>
      </c>
      <c r="G1209" s="8">
        <v>45910</v>
      </c>
      <c r="H1209" s="2" t="s">
        <v>932</v>
      </c>
    </row>
    <row r="1210" spans="1:8" hidden="1">
      <c r="A1210" s="2" t="s">
        <v>9</v>
      </c>
      <c r="B1210" s="2"/>
      <c r="C1210" s="2"/>
      <c r="D1210" s="8">
        <v>45883</v>
      </c>
      <c r="E1210" s="8"/>
      <c r="F1210" s="8">
        <v>45883</v>
      </c>
      <c r="G1210" s="8">
        <v>45898</v>
      </c>
      <c r="H1210" s="2" t="s">
        <v>248</v>
      </c>
    </row>
    <row r="1211" spans="1:8" hidden="1">
      <c r="A1211" s="2" t="s">
        <v>9</v>
      </c>
      <c r="B1211" s="2"/>
      <c r="C1211" s="2"/>
      <c r="D1211" s="8">
        <v>45883</v>
      </c>
      <c r="E1211" s="8"/>
      <c r="F1211" s="8">
        <v>45891</v>
      </c>
      <c r="G1211" s="8">
        <v>45898</v>
      </c>
      <c r="H1211" s="2" t="s">
        <v>249</v>
      </c>
    </row>
    <row r="1212" spans="1:8" hidden="1">
      <c r="A1212" s="2" t="s">
        <v>9</v>
      </c>
      <c r="B1212" s="2"/>
      <c r="C1212" s="2"/>
      <c r="D1212" s="8">
        <v>45872</v>
      </c>
      <c r="E1212" s="8"/>
      <c r="F1212" s="8">
        <v>45915</v>
      </c>
      <c r="G1212" s="8">
        <v>45885</v>
      </c>
      <c r="H1212" s="2" t="s">
        <v>250</v>
      </c>
    </row>
    <row r="1213" spans="1:8" hidden="1">
      <c r="A1213" s="2" t="s">
        <v>9</v>
      </c>
      <c r="B1213" s="2"/>
      <c r="C1213" s="2" t="s">
        <v>1135</v>
      </c>
      <c r="D1213" s="8">
        <v>45909</v>
      </c>
      <c r="E1213" s="8"/>
      <c r="F1213" s="8">
        <v>45961</v>
      </c>
      <c r="G1213" s="8">
        <v>45924</v>
      </c>
      <c r="H1213" s="2" t="s">
        <v>933</v>
      </c>
    </row>
    <row r="1214" spans="1:8" hidden="1">
      <c r="A1214" s="2" t="s">
        <v>9</v>
      </c>
      <c r="B1214" s="2"/>
      <c r="C1214" s="2" t="s">
        <v>1102</v>
      </c>
      <c r="D1214" s="8">
        <v>45901</v>
      </c>
      <c r="E1214" s="8"/>
      <c r="F1214" s="8">
        <v>45930</v>
      </c>
      <c r="G1214" s="8">
        <v>45916</v>
      </c>
      <c r="H1214" s="2" t="s">
        <v>934</v>
      </c>
    </row>
    <row r="1215" spans="1:8" hidden="1">
      <c r="A1215" s="2" t="s">
        <v>9</v>
      </c>
      <c r="B1215" s="2"/>
      <c r="C1215" s="2" t="s">
        <v>1102</v>
      </c>
      <c r="D1215" s="8">
        <v>45901</v>
      </c>
      <c r="E1215" s="8"/>
      <c r="F1215" s="8">
        <v>45930</v>
      </c>
      <c r="G1215" s="8">
        <v>45916</v>
      </c>
      <c r="H1215" s="2" t="s">
        <v>935</v>
      </c>
    </row>
    <row r="1216" spans="1:8" hidden="1">
      <c r="A1216" s="2" t="s">
        <v>11</v>
      </c>
      <c r="B1216" s="2"/>
      <c r="C1216" s="2" t="s">
        <v>1141</v>
      </c>
      <c r="D1216" s="8">
        <v>45929</v>
      </c>
      <c r="E1216" s="8"/>
      <c r="F1216" s="8">
        <v>45991</v>
      </c>
      <c r="G1216" s="8">
        <v>45944</v>
      </c>
      <c r="H1216" s="2" t="s">
        <v>936</v>
      </c>
    </row>
    <row r="1217" spans="1:8" hidden="1">
      <c r="A1217" s="2" t="s">
        <v>11</v>
      </c>
      <c r="B1217" s="2"/>
      <c r="C1217" s="2" t="s">
        <v>1141</v>
      </c>
      <c r="D1217" s="8">
        <v>45929</v>
      </c>
      <c r="E1217" s="8"/>
      <c r="F1217" s="8">
        <v>45991</v>
      </c>
      <c r="G1217" s="8">
        <v>45944</v>
      </c>
      <c r="H1217" s="2" t="s">
        <v>937</v>
      </c>
    </row>
    <row r="1218" spans="1:8" hidden="1">
      <c r="A1218" s="2" t="s">
        <v>12</v>
      </c>
      <c r="B1218" s="2"/>
      <c r="C1218" s="2" t="s">
        <v>1142</v>
      </c>
      <c r="D1218" s="8">
        <v>45931</v>
      </c>
      <c r="E1218" s="8"/>
      <c r="F1218" s="8">
        <v>45991</v>
      </c>
      <c r="G1218" s="8">
        <v>45946</v>
      </c>
      <c r="H1218" s="2" t="s">
        <v>938</v>
      </c>
    </row>
    <row r="1219" spans="1:8" hidden="1">
      <c r="A1219" s="2" t="s">
        <v>12</v>
      </c>
      <c r="B1219" s="2"/>
      <c r="C1219" s="2" t="s">
        <v>1142</v>
      </c>
      <c r="D1219" s="8">
        <v>45931</v>
      </c>
      <c r="E1219" s="8"/>
      <c r="F1219" s="8">
        <v>45991</v>
      </c>
      <c r="G1219" s="8">
        <v>45946</v>
      </c>
      <c r="H1219" s="2" t="s">
        <v>939</v>
      </c>
    </row>
    <row r="1220" spans="1:8" hidden="1">
      <c r="A1220" s="2" t="s">
        <v>12</v>
      </c>
      <c r="B1220" s="2"/>
      <c r="C1220" s="2" t="s">
        <v>1142</v>
      </c>
      <c r="D1220" s="8">
        <v>45931</v>
      </c>
      <c r="E1220" s="8"/>
      <c r="F1220" s="8">
        <v>45991</v>
      </c>
      <c r="G1220" s="8">
        <v>45946</v>
      </c>
      <c r="H1220" s="2" t="s">
        <v>940</v>
      </c>
    </row>
    <row r="1221" spans="1:8" hidden="1">
      <c r="A1221" s="2" t="s">
        <v>12</v>
      </c>
      <c r="B1221" s="2"/>
      <c r="C1221" s="2" t="s">
        <v>1143</v>
      </c>
      <c r="D1221" s="8">
        <v>45931</v>
      </c>
      <c r="E1221" s="8"/>
      <c r="F1221" s="8">
        <v>45961</v>
      </c>
      <c r="G1221" s="8">
        <v>45946</v>
      </c>
      <c r="H1221" s="2" t="s">
        <v>941</v>
      </c>
    </row>
    <row r="1222" spans="1:8" hidden="1">
      <c r="A1222" s="2" t="s">
        <v>12</v>
      </c>
      <c r="B1222" s="2"/>
      <c r="C1222" s="2" t="s">
        <v>1143</v>
      </c>
      <c r="D1222" s="8">
        <v>45931</v>
      </c>
      <c r="E1222" s="8"/>
      <c r="F1222" s="8">
        <v>45961</v>
      </c>
      <c r="G1222" s="8">
        <v>45946</v>
      </c>
      <c r="H1222" s="2" t="s">
        <v>942</v>
      </c>
    </row>
    <row r="1223" spans="1:8" hidden="1">
      <c r="A1223" s="2" t="s">
        <v>12</v>
      </c>
      <c r="B1223" s="2"/>
      <c r="C1223" s="2" t="s">
        <v>1143</v>
      </c>
      <c r="D1223" s="8">
        <v>45937</v>
      </c>
      <c r="E1223" s="8"/>
      <c r="F1223" s="8">
        <v>45961</v>
      </c>
      <c r="G1223" s="8">
        <v>45952</v>
      </c>
      <c r="H1223" s="2" t="s">
        <v>943</v>
      </c>
    </row>
    <row r="1224" spans="1:8" hidden="1">
      <c r="A1224" s="2" t="s">
        <v>12</v>
      </c>
      <c r="B1224" s="2"/>
      <c r="C1224" s="2" t="s">
        <v>1143</v>
      </c>
      <c r="D1224" s="8">
        <v>45937</v>
      </c>
      <c r="E1224" s="8"/>
      <c r="F1224" s="8">
        <v>45961</v>
      </c>
      <c r="G1224" s="8">
        <v>45952</v>
      </c>
      <c r="H1224" s="2" t="s">
        <v>944</v>
      </c>
    </row>
    <row r="1225" spans="1:8" hidden="1">
      <c r="A1225" s="2" t="s">
        <v>9</v>
      </c>
      <c r="B1225" s="2"/>
      <c r="C1225" s="2" t="s">
        <v>1144</v>
      </c>
      <c r="D1225" s="8">
        <v>45938</v>
      </c>
      <c r="E1225" s="8"/>
      <c r="F1225" s="8">
        <v>45950</v>
      </c>
      <c r="G1225" s="8">
        <v>45953</v>
      </c>
      <c r="H1225" s="2" t="s">
        <v>945</v>
      </c>
    </row>
    <row r="1226" spans="1:8" hidden="1">
      <c r="A1226" s="2" t="s">
        <v>9</v>
      </c>
      <c r="B1226" s="2"/>
      <c r="C1226" s="2" t="s">
        <v>1144</v>
      </c>
      <c r="D1226" s="8">
        <v>45938</v>
      </c>
      <c r="E1226" s="8"/>
      <c r="F1226" s="8">
        <v>45950</v>
      </c>
      <c r="G1226" s="8">
        <v>45953</v>
      </c>
      <c r="H1226" s="2" t="s">
        <v>946</v>
      </c>
    </row>
    <row r="1227" spans="1:8" hidden="1">
      <c r="A1227" s="2" t="s">
        <v>9</v>
      </c>
      <c r="B1227" s="2"/>
      <c r="C1227" s="2" t="s">
        <v>1144</v>
      </c>
      <c r="D1227" s="8">
        <v>45938</v>
      </c>
      <c r="E1227" s="8"/>
      <c r="F1227" s="8">
        <v>45950</v>
      </c>
      <c r="G1227" s="8">
        <v>45953</v>
      </c>
      <c r="H1227" s="2" t="s">
        <v>947</v>
      </c>
    </row>
    <row r="1228" spans="1:8" hidden="1">
      <c r="A1228" s="2" t="s">
        <v>10</v>
      </c>
      <c r="B1228" s="2"/>
      <c r="C1228" s="2" t="s">
        <v>1127</v>
      </c>
      <c r="D1228" s="8">
        <v>45938</v>
      </c>
      <c r="E1228" s="8"/>
      <c r="F1228" s="8">
        <v>45980</v>
      </c>
      <c r="G1228" s="8">
        <v>45953</v>
      </c>
      <c r="H1228" s="2" t="s">
        <v>948</v>
      </c>
    </row>
    <row r="1229" spans="1:8" hidden="1">
      <c r="A1229" s="2" t="s">
        <v>9</v>
      </c>
      <c r="B1229" s="2"/>
      <c r="C1229" s="2" t="s">
        <v>1039</v>
      </c>
      <c r="D1229" s="8">
        <v>45932</v>
      </c>
      <c r="E1229" s="8"/>
      <c r="F1229" s="8">
        <v>45932</v>
      </c>
      <c r="G1229" s="8">
        <v>45947</v>
      </c>
      <c r="H1229" s="2" t="s">
        <v>251</v>
      </c>
    </row>
    <row r="1230" spans="1:8" hidden="1">
      <c r="A1230" s="2" t="s">
        <v>12</v>
      </c>
      <c r="B1230" s="2"/>
      <c r="C1230" s="2" t="s">
        <v>1145</v>
      </c>
      <c r="D1230" s="8">
        <v>45981</v>
      </c>
      <c r="E1230" s="8"/>
      <c r="F1230" s="8">
        <v>46027</v>
      </c>
      <c r="G1230" s="8">
        <v>45996</v>
      </c>
      <c r="H1230" s="2" t="s">
        <v>949</v>
      </c>
    </row>
    <row r="1231" spans="1:8" hidden="1">
      <c r="A1231" s="2" t="s">
        <v>12</v>
      </c>
      <c r="B1231" s="2"/>
      <c r="C1231" s="2" t="s">
        <v>1146</v>
      </c>
      <c r="D1231" s="8">
        <v>45940</v>
      </c>
      <c r="E1231" s="8"/>
      <c r="F1231" s="8">
        <v>46022</v>
      </c>
      <c r="G1231" s="8">
        <v>45955</v>
      </c>
      <c r="H1231" s="2" t="s">
        <v>950</v>
      </c>
    </row>
    <row r="1232" spans="1:8" hidden="1">
      <c r="A1232" s="2" t="s">
        <v>12</v>
      </c>
      <c r="B1232" s="2"/>
      <c r="C1232" s="2" t="s">
        <v>1039</v>
      </c>
      <c r="D1232" s="8">
        <v>45940</v>
      </c>
      <c r="E1232" s="8"/>
      <c r="F1232" s="8">
        <v>46022</v>
      </c>
      <c r="G1232" s="8">
        <v>45955</v>
      </c>
      <c r="H1232" s="2" t="s">
        <v>951</v>
      </c>
    </row>
    <row r="1233" spans="1:8" hidden="1">
      <c r="A1233" s="2" t="s">
        <v>12</v>
      </c>
      <c r="B1233" s="2"/>
      <c r="C1233" s="2" t="s">
        <v>1039</v>
      </c>
      <c r="D1233" s="8">
        <v>45953</v>
      </c>
      <c r="E1233" s="8"/>
      <c r="F1233" s="8">
        <v>46022</v>
      </c>
      <c r="G1233" s="8">
        <v>45968</v>
      </c>
      <c r="H1233" s="2" t="s">
        <v>952</v>
      </c>
    </row>
    <row r="1234" spans="1:8" hidden="1">
      <c r="A1234" s="2" t="s">
        <v>12</v>
      </c>
      <c r="B1234" s="2"/>
      <c r="C1234" s="2" t="s">
        <v>1039</v>
      </c>
      <c r="D1234" s="8">
        <v>45953</v>
      </c>
      <c r="E1234" s="8"/>
      <c r="F1234" s="8">
        <v>46022</v>
      </c>
      <c r="G1234" s="8">
        <v>45968</v>
      </c>
      <c r="H1234" s="2" t="s">
        <v>953</v>
      </c>
    </row>
    <row r="1235" spans="1:8" hidden="1">
      <c r="A1235" s="2" t="s">
        <v>10</v>
      </c>
      <c r="B1235" s="2"/>
      <c r="C1235" s="2" t="s">
        <v>1135</v>
      </c>
      <c r="D1235" s="8">
        <v>45957</v>
      </c>
      <c r="E1235" s="8"/>
      <c r="F1235" s="8">
        <v>45992</v>
      </c>
      <c r="G1235" s="8">
        <v>45972</v>
      </c>
      <c r="H1235" s="2" t="s">
        <v>954</v>
      </c>
    </row>
    <row r="1236" spans="1:8" hidden="1">
      <c r="A1236" s="2" t="s">
        <v>9</v>
      </c>
      <c r="B1236" s="2"/>
      <c r="C1236" s="2" t="s">
        <v>1147</v>
      </c>
      <c r="D1236" s="8">
        <v>45959</v>
      </c>
      <c r="E1236" s="8"/>
      <c r="F1236" s="8">
        <v>45960</v>
      </c>
      <c r="G1236" s="8">
        <v>45974</v>
      </c>
      <c r="H1236" s="2" t="s">
        <v>955</v>
      </c>
    </row>
    <row r="1237" spans="1:8" hidden="1">
      <c r="A1237" s="2" t="s">
        <v>9</v>
      </c>
      <c r="B1237" s="2"/>
      <c r="C1237" s="2" t="s">
        <v>1147</v>
      </c>
      <c r="D1237" s="8">
        <v>45959</v>
      </c>
      <c r="E1237" s="8"/>
      <c r="F1237" s="8">
        <v>45960</v>
      </c>
      <c r="G1237" s="8">
        <v>45974</v>
      </c>
      <c r="H1237" s="2" t="s">
        <v>955</v>
      </c>
    </row>
    <row r="1238" spans="1:8" hidden="1">
      <c r="A1238" s="2" t="s">
        <v>9</v>
      </c>
      <c r="B1238" s="2"/>
      <c r="C1238" s="2" t="s">
        <v>1147</v>
      </c>
      <c r="D1238" s="8">
        <v>45959</v>
      </c>
      <c r="E1238" s="8"/>
      <c r="F1238" s="8">
        <v>45960</v>
      </c>
      <c r="G1238" s="8">
        <v>45974</v>
      </c>
      <c r="H1238" s="2" t="s">
        <v>956</v>
      </c>
    </row>
    <row r="1239" spans="1:8" hidden="1">
      <c r="A1239" s="2" t="s">
        <v>9</v>
      </c>
      <c r="B1239" s="2"/>
      <c r="C1239" s="2" t="s">
        <v>1147</v>
      </c>
      <c r="D1239" s="8">
        <v>45959</v>
      </c>
      <c r="E1239" s="8"/>
      <c r="F1239" s="8">
        <v>45960</v>
      </c>
      <c r="G1239" s="8">
        <v>45974</v>
      </c>
      <c r="H1239" s="2" t="s">
        <v>957</v>
      </c>
    </row>
    <row r="1240" spans="1:8" hidden="1">
      <c r="A1240" s="2" t="s">
        <v>9</v>
      </c>
      <c r="B1240" s="2"/>
      <c r="C1240" s="2" t="s">
        <v>1147</v>
      </c>
      <c r="D1240" s="8">
        <v>45959</v>
      </c>
      <c r="E1240" s="8"/>
      <c r="F1240" s="8">
        <v>45960</v>
      </c>
      <c r="G1240" s="8">
        <v>45974</v>
      </c>
      <c r="H1240" s="2" t="s">
        <v>958</v>
      </c>
    </row>
    <row r="1241" spans="1:8" hidden="1">
      <c r="A1241" s="2" t="s">
        <v>9</v>
      </c>
      <c r="B1241" s="2"/>
      <c r="C1241" s="2" t="s">
        <v>1147</v>
      </c>
      <c r="D1241" s="8">
        <v>45959</v>
      </c>
      <c r="E1241" s="8"/>
      <c r="F1241" s="8">
        <v>45960</v>
      </c>
      <c r="G1241" s="8">
        <v>45974</v>
      </c>
      <c r="H1241" s="2" t="s">
        <v>959</v>
      </c>
    </row>
    <row r="1242" spans="1:8" hidden="1">
      <c r="A1242" s="2" t="s">
        <v>9</v>
      </c>
      <c r="B1242" s="2"/>
      <c r="C1242" s="2" t="s">
        <v>1147</v>
      </c>
      <c r="D1242" s="8">
        <v>45959</v>
      </c>
      <c r="E1242" s="8"/>
      <c r="F1242" s="8">
        <v>45960</v>
      </c>
      <c r="G1242" s="8">
        <v>45974</v>
      </c>
      <c r="H1242" s="2" t="s">
        <v>960</v>
      </c>
    </row>
    <row r="1243" spans="1:8" hidden="1">
      <c r="A1243" s="2" t="s">
        <v>13</v>
      </c>
      <c r="B1243" s="2"/>
      <c r="C1243" s="2" t="s">
        <v>1027</v>
      </c>
      <c r="D1243" s="8">
        <v>45964</v>
      </c>
      <c r="E1243" s="8"/>
      <c r="F1243" s="8">
        <v>46022</v>
      </c>
      <c r="G1243" s="8">
        <v>45979</v>
      </c>
      <c r="H1243" s="2" t="s">
        <v>961</v>
      </c>
    </row>
    <row r="1244" spans="1:8" hidden="1">
      <c r="A1244" s="2" t="s">
        <v>12</v>
      </c>
      <c r="B1244" s="2"/>
      <c r="C1244" s="2" t="s">
        <v>1148</v>
      </c>
      <c r="D1244" s="8">
        <v>45964</v>
      </c>
      <c r="E1244" s="8"/>
      <c r="F1244" s="8">
        <v>46015</v>
      </c>
      <c r="G1244" s="8">
        <v>45979</v>
      </c>
      <c r="H1244" s="2" t="s">
        <v>962</v>
      </c>
    </row>
    <row r="1245" spans="1:8" hidden="1">
      <c r="A1245" s="2" t="s">
        <v>12</v>
      </c>
      <c r="B1245" s="2"/>
      <c r="C1245" s="2" t="s">
        <v>1148</v>
      </c>
      <c r="D1245" s="8">
        <v>45964</v>
      </c>
      <c r="E1245" s="8"/>
      <c r="F1245" s="8">
        <v>46015</v>
      </c>
      <c r="G1245" s="8">
        <v>45979</v>
      </c>
      <c r="H1245" s="2" t="s">
        <v>963</v>
      </c>
    </row>
    <row r="1246" spans="1:8" hidden="1">
      <c r="A1246" s="2" t="s">
        <v>12</v>
      </c>
      <c r="B1246" s="2"/>
      <c r="C1246" s="2" t="s">
        <v>301</v>
      </c>
      <c r="D1246" s="8">
        <v>45966</v>
      </c>
      <c r="E1246" s="8"/>
      <c r="F1246" s="8">
        <v>45999</v>
      </c>
      <c r="G1246" s="8">
        <v>45981</v>
      </c>
      <c r="H1246" s="2" t="s">
        <v>964</v>
      </c>
    </row>
    <row r="1247" spans="1:8" hidden="1">
      <c r="A1247" s="2" t="s">
        <v>12</v>
      </c>
      <c r="B1247" s="2"/>
      <c r="C1247" s="2" t="s">
        <v>301</v>
      </c>
      <c r="D1247" s="8">
        <v>45966</v>
      </c>
      <c r="E1247" s="8"/>
      <c r="F1247" s="8">
        <v>45999</v>
      </c>
      <c r="G1247" s="8">
        <v>45981</v>
      </c>
      <c r="H1247" s="2" t="s">
        <v>965</v>
      </c>
    </row>
    <row r="1248" spans="1:8" hidden="1">
      <c r="A1248" s="2" t="s">
        <v>12</v>
      </c>
      <c r="B1248" s="18" t="s">
        <v>1157</v>
      </c>
      <c r="C1248" s="2" t="s">
        <v>1092</v>
      </c>
      <c r="D1248" s="8">
        <v>45981</v>
      </c>
      <c r="E1248" s="8"/>
      <c r="F1248" s="8">
        <v>46028</v>
      </c>
      <c r="G1248" s="8">
        <v>45996</v>
      </c>
      <c r="H1248" s="2" t="s">
        <v>966</v>
      </c>
    </row>
    <row r="1249" spans="1:8" hidden="1">
      <c r="A1249" s="2" t="s">
        <v>10</v>
      </c>
      <c r="B1249" s="2"/>
      <c r="C1249" s="2" t="s">
        <v>1149</v>
      </c>
      <c r="D1249" s="8">
        <v>45972</v>
      </c>
      <c r="E1249" s="8"/>
      <c r="F1249" s="8">
        <v>46027</v>
      </c>
      <c r="G1249" s="8">
        <v>45987</v>
      </c>
      <c r="H1249" s="2" t="s">
        <v>967</v>
      </c>
    </row>
    <row r="1250" spans="1:8" hidden="1">
      <c r="A1250" s="2" t="s">
        <v>10</v>
      </c>
      <c r="B1250" s="2"/>
      <c r="C1250" s="2" t="s">
        <v>1141</v>
      </c>
      <c r="D1250" s="8">
        <v>45974</v>
      </c>
      <c r="E1250" s="8"/>
      <c r="F1250" s="8">
        <v>46022</v>
      </c>
      <c r="G1250" s="8">
        <v>45989</v>
      </c>
      <c r="H1250" s="2" t="s">
        <v>968</v>
      </c>
    </row>
    <row r="1251" spans="1:8" hidden="1">
      <c r="A1251" s="2" t="s">
        <v>13</v>
      </c>
      <c r="B1251" s="2"/>
      <c r="C1251" s="2" t="s">
        <v>1015</v>
      </c>
      <c r="D1251" s="8">
        <v>45981</v>
      </c>
      <c r="E1251" s="8"/>
      <c r="F1251" s="8">
        <v>46029</v>
      </c>
      <c r="G1251" s="8">
        <v>45996</v>
      </c>
      <c r="H1251" s="2" t="s">
        <v>969</v>
      </c>
    </row>
    <row r="1252" spans="1:8" hidden="1">
      <c r="A1252" s="2" t="s">
        <v>13</v>
      </c>
      <c r="B1252" s="2"/>
      <c r="C1252" s="2" t="s">
        <v>1015</v>
      </c>
      <c r="D1252" s="8">
        <v>45981</v>
      </c>
      <c r="E1252" s="8"/>
      <c r="F1252" s="8">
        <v>46029</v>
      </c>
      <c r="G1252" s="8">
        <v>45996</v>
      </c>
      <c r="H1252" s="2" t="s">
        <v>970</v>
      </c>
    </row>
    <row r="1253" spans="1:8" hidden="1">
      <c r="A1253" s="2" t="s">
        <v>13</v>
      </c>
      <c r="B1253" s="2"/>
      <c r="C1253" s="2" t="s">
        <v>1150</v>
      </c>
      <c r="D1253" s="8">
        <v>45981</v>
      </c>
      <c r="E1253" s="8"/>
      <c r="F1253" s="8">
        <v>46029</v>
      </c>
      <c r="G1253" s="8">
        <v>45996</v>
      </c>
      <c r="H1253" s="2" t="s">
        <v>971</v>
      </c>
    </row>
    <row r="1254" spans="1:8" hidden="1">
      <c r="A1254" s="2" t="s">
        <v>13</v>
      </c>
      <c r="B1254" s="2"/>
      <c r="C1254" s="2" t="s">
        <v>1150</v>
      </c>
      <c r="D1254" s="8">
        <v>45981</v>
      </c>
      <c r="E1254" s="8"/>
      <c r="F1254" s="8">
        <v>46029</v>
      </c>
      <c r="G1254" s="8">
        <v>45996</v>
      </c>
      <c r="H1254" s="2" t="s">
        <v>972</v>
      </c>
    </row>
    <row r="1255" spans="1:8" hidden="1">
      <c r="A1255" s="2" t="s">
        <v>12</v>
      </c>
      <c r="B1255" s="2"/>
      <c r="C1255" s="2" t="s">
        <v>1148</v>
      </c>
      <c r="D1255" s="8">
        <v>45966</v>
      </c>
      <c r="E1255" s="8"/>
      <c r="F1255" s="8">
        <v>46015</v>
      </c>
      <c r="G1255" s="8">
        <v>45981</v>
      </c>
      <c r="H1255" s="2" t="s">
        <v>973</v>
      </c>
    </row>
    <row r="1256" spans="1:8" hidden="1">
      <c r="A1256" s="2" t="s">
        <v>12</v>
      </c>
      <c r="B1256" s="2"/>
      <c r="C1256" s="2" t="s">
        <v>1148</v>
      </c>
      <c r="D1256" s="8">
        <v>45966</v>
      </c>
      <c r="E1256" s="8"/>
      <c r="F1256" s="8">
        <v>46015</v>
      </c>
      <c r="G1256" s="8">
        <v>45981</v>
      </c>
      <c r="H1256" s="2" t="s">
        <v>974</v>
      </c>
    </row>
    <row r="1257" spans="1:8" hidden="1">
      <c r="A1257" s="2" t="s">
        <v>10</v>
      </c>
      <c r="B1257" s="2"/>
      <c r="C1257" s="2" t="s">
        <v>1135</v>
      </c>
      <c r="D1257" s="8">
        <v>45981</v>
      </c>
      <c r="E1257" s="8"/>
      <c r="F1257" s="8">
        <v>46028</v>
      </c>
      <c r="G1257" s="8">
        <v>45996</v>
      </c>
      <c r="H1257" s="2" t="s">
        <v>975</v>
      </c>
    </row>
    <row r="1258" spans="1:8" hidden="1">
      <c r="A1258" s="2" t="s">
        <v>12</v>
      </c>
      <c r="B1258" s="2"/>
      <c r="C1258" s="2" t="s">
        <v>1151</v>
      </c>
      <c r="D1258" s="8">
        <v>45981</v>
      </c>
      <c r="E1258" s="8"/>
      <c r="F1258" s="8">
        <v>46027</v>
      </c>
      <c r="G1258" s="8">
        <v>45996</v>
      </c>
      <c r="H1258" s="2" t="s">
        <v>976</v>
      </c>
    </row>
    <row r="1259" spans="1:8" hidden="1">
      <c r="A1259" s="2" t="s">
        <v>12</v>
      </c>
      <c r="B1259" s="2"/>
      <c r="C1259" s="2" t="s">
        <v>1151</v>
      </c>
      <c r="D1259" s="8">
        <v>45981</v>
      </c>
      <c r="E1259" s="8"/>
      <c r="F1259" s="8">
        <v>46027</v>
      </c>
      <c r="G1259" s="8">
        <v>45996</v>
      </c>
      <c r="H1259" s="2" t="s">
        <v>977</v>
      </c>
    </row>
    <row r="1260" spans="1:8" hidden="1">
      <c r="A1260" s="2" t="s">
        <v>12</v>
      </c>
      <c r="B1260" s="2"/>
      <c r="C1260" s="2" t="s">
        <v>1036</v>
      </c>
      <c r="D1260" s="8">
        <v>45981</v>
      </c>
      <c r="E1260" s="8"/>
      <c r="F1260" s="8">
        <v>46027</v>
      </c>
      <c r="G1260" s="8">
        <v>45996</v>
      </c>
      <c r="H1260" s="2" t="s">
        <v>978</v>
      </c>
    </row>
    <row r="1261" spans="1:8" hidden="1">
      <c r="A1261" s="2" t="s">
        <v>12</v>
      </c>
      <c r="B1261" s="2"/>
      <c r="C1261" s="2" t="s">
        <v>1036</v>
      </c>
      <c r="D1261" s="8">
        <v>45981</v>
      </c>
      <c r="E1261" s="8"/>
      <c r="F1261" s="8">
        <v>46027</v>
      </c>
      <c r="G1261" s="8">
        <v>45996</v>
      </c>
      <c r="H1261" s="2" t="s">
        <v>979</v>
      </c>
    </row>
    <row r="1262" spans="1:8" hidden="1">
      <c r="A1262" s="2" t="s">
        <v>10</v>
      </c>
      <c r="B1262" s="2"/>
      <c r="C1262" s="2" t="s">
        <v>1152</v>
      </c>
      <c r="D1262" s="8">
        <v>45986</v>
      </c>
      <c r="E1262" s="8"/>
      <c r="F1262" s="8">
        <v>46020</v>
      </c>
      <c r="G1262" s="8">
        <v>46001</v>
      </c>
      <c r="H1262" s="2" t="s">
        <v>980</v>
      </c>
    </row>
    <row r="1263" spans="1:8" hidden="1">
      <c r="A1263" s="2" t="s">
        <v>10</v>
      </c>
      <c r="B1263" s="2"/>
      <c r="C1263" s="2" t="s">
        <v>1152</v>
      </c>
      <c r="D1263" s="8">
        <v>45986</v>
      </c>
      <c r="E1263" s="8"/>
      <c r="F1263" s="8">
        <v>46020</v>
      </c>
      <c r="G1263" s="8">
        <v>46001</v>
      </c>
      <c r="H1263" s="2" t="s">
        <v>981</v>
      </c>
    </row>
    <row r="1264" spans="1:8" hidden="1">
      <c r="A1264" s="2" t="s">
        <v>10</v>
      </c>
      <c r="B1264" s="2"/>
      <c r="C1264" s="2" t="s">
        <v>1152</v>
      </c>
      <c r="D1264" s="8">
        <v>45986</v>
      </c>
      <c r="E1264" s="8"/>
      <c r="F1264" s="8">
        <v>46020</v>
      </c>
      <c r="G1264" s="8">
        <v>46001</v>
      </c>
      <c r="H1264" s="2" t="s">
        <v>982</v>
      </c>
    </row>
    <row r="1265" spans="1:11" hidden="1">
      <c r="A1265" s="2" t="s">
        <v>10</v>
      </c>
      <c r="B1265" s="2"/>
      <c r="C1265" s="2" t="s">
        <v>1152</v>
      </c>
      <c r="D1265" s="8">
        <v>45986</v>
      </c>
      <c r="E1265" s="8"/>
      <c r="F1265" s="8">
        <v>46020</v>
      </c>
      <c r="G1265" s="8">
        <v>46001</v>
      </c>
      <c r="H1265" s="2" t="s">
        <v>983</v>
      </c>
    </row>
    <row r="1266" spans="1:11" hidden="1">
      <c r="A1266" s="2" t="s">
        <v>10</v>
      </c>
      <c r="B1266" s="2"/>
      <c r="C1266" s="2" t="s">
        <v>1152</v>
      </c>
      <c r="D1266" s="8">
        <v>45986</v>
      </c>
      <c r="E1266" s="8"/>
      <c r="F1266" s="8">
        <v>46020</v>
      </c>
      <c r="G1266" s="8">
        <v>46001</v>
      </c>
      <c r="H1266" s="2" t="s">
        <v>984</v>
      </c>
    </row>
    <row r="1267" spans="1:11" hidden="1">
      <c r="A1267" s="2" t="s">
        <v>10</v>
      </c>
      <c r="B1267" s="2"/>
      <c r="C1267" s="2" t="s">
        <v>1152</v>
      </c>
      <c r="D1267" s="8">
        <v>45986</v>
      </c>
      <c r="E1267" s="8"/>
      <c r="F1267" s="8">
        <v>46020</v>
      </c>
      <c r="G1267" s="8">
        <v>46001</v>
      </c>
      <c r="H1267" s="2" t="s">
        <v>985</v>
      </c>
    </row>
    <row r="1268" spans="1:11" hidden="1">
      <c r="A1268" s="2" t="s">
        <v>10</v>
      </c>
      <c r="B1268" s="2"/>
      <c r="C1268" s="2" t="s">
        <v>1152</v>
      </c>
      <c r="D1268" s="8">
        <v>45987</v>
      </c>
      <c r="E1268" s="8"/>
      <c r="F1268" s="8">
        <v>46020</v>
      </c>
      <c r="G1268" s="8">
        <v>46002</v>
      </c>
      <c r="H1268" s="2" t="s">
        <v>986</v>
      </c>
    </row>
    <row r="1269" spans="1:11" hidden="1">
      <c r="A1269" s="2" t="s">
        <v>13</v>
      </c>
      <c r="B1269" s="2"/>
      <c r="C1269" s="2" t="s">
        <v>1153</v>
      </c>
      <c r="D1269" s="8">
        <v>45995</v>
      </c>
      <c r="E1269" s="8"/>
      <c r="F1269" s="8">
        <v>46027</v>
      </c>
      <c r="G1269" s="8">
        <v>46010</v>
      </c>
      <c r="H1269" s="2" t="s">
        <v>987</v>
      </c>
    </row>
    <row r="1270" spans="1:11" hidden="1">
      <c r="A1270" s="2" t="s">
        <v>13</v>
      </c>
      <c r="B1270" s="2"/>
      <c r="C1270" s="2" t="s">
        <v>1153</v>
      </c>
      <c r="D1270" s="8">
        <v>45995</v>
      </c>
      <c r="E1270" s="8"/>
      <c r="F1270" s="8">
        <v>46027</v>
      </c>
      <c r="G1270" s="8">
        <v>46010</v>
      </c>
      <c r="H1270" s="2" t="s">
        <v>988</v>
      </c>
    </row>
    <row r="1271" spans="1:11" hidden="1">
      <c r="A1271" s="2" t="s">
        <v>10</v>
      </c>
      <c r="B1271" s="2"/>
      <c r="C1271" s="2" t="s">
        <v>1135</v>
      </c>
      <c r="D1271" s="8">
        <v>45987</v>
      </c>
      <c r="E1271" s="8"/>
      <c r="F1271" s="8">
        <v>46020</v>
      </c>
      <c r="G1271" s="8">
        <v>46002</v>
      </c>
      <c r="H1271" s="2" t="s">
        <v>989</v>
      </c>
    </row>
    <row r="1272" spans="1:11" hidden="1">
      <c r="A1272" s="2" t="s">
        <v>12</v>
      </c>
      <c r="B1272" s="2"/>
      <c r="C1272" s="2" t="s">
        <v>1154</v>
      </c>
      <c r="D1272" s="8">
        <v>45981</v>
      </c>
      <c r="E1272" s="8"/>
      <c r="F1272" s="8">
        <v>46016</v>
      </c>
      <c r="G1272" s="8">
        <v>45996</v>
      </c>
      <c r="H1272" s="2" t="s">
        <v>990</v>
      </c>
    </row>
    <row r="1273" spans="1:11" hidden="1">
      <c r="A1273" s="2" t="s">
        <v>12</v>
      </c>
      <c r="B1273" s="2"/>
      <c r="C1273" s="2" t="s">
        <v>1154</v>
      </c>
      <c r="D1273" s="8">
        <v>45981</v>
      </c>
      <c r="E1273" s="8"/>
      <c r="F1273" s="8">
        <v>46016</v>
      </c>
      <c r="G1273" s="8">
        <v>45996</v>
      </c>
      <c r="H1273" s="2" t="s">
        <v>991</v>
      </c>
    </row>
    <row r="1274" spans="1:11" hidden="1">
      <c r="A1274" s="2" t="s">
        <v>12</v>
      </c>
      <c r="B1274" s="2"/>
      <c r="C1274" s="2" t="s">
        <v>1154</v>
      </c>
      <c r="D1274" s="8">
        <v>45981</v>
      </c>
      <c r="E1274" s="8"/>
      <c r="F1274" s="8">
        <v>46016</v>
      </c>
      <c r="G1274" s="8">
        <v>45996</v>
      </c>
      <c r="H1274" s="2" t="s">
        <v>992</v>
      </c>
    </row>
    <row r="1275" spans="1:11">
      <c r="A1275" s="2" t="s">
        <v>1586</v>
      </c>
      <c r="B1275" t="s">
        <v>1366</v>
      </c>
      <c r="C1275" s="2" t="s">
        <v>1036</v>
      </c>
      <c r="D1275" s="8">
        <v>46364</v>
      </c>
      <c r="E1275" s="8"/>
      <c r="F1275" s="8">
        <v>46063</v>
      </c>
      <c r="G1275" s="8">
        <v>46379</v>
      </c>
      <c r="H1275" s="2" t="s">
        <v>993</v>
      </c>
      <c r="I1275">
        <f>_xlfn.XLOOKUP(H1275,Hoja1!H:H,Hoja1!G:G)</f>
        <v>2270</v>
      </c>
      <c r="J1275">
        <f>VLOOKUP(B1275,Hoja2!P:Q,2,0)</f>
        <v>3</v>
      </c>
      <c r="K1275" t="str">
        <f>"update formulario set id_categoria_formulario = "&amp;J1275&amp;" where id ="&amp;I1275&amp;";"</f>
        <v>update formulario set id_categoria_formulario = 3 where id =2270;</v>
      </c>
    </row>
    <row r="1276" spans="1:11">
      <c r="A1276" s="2" t="s">
        <v>10</v>
      </c>
      <c r="B1276" t="s">
        <v>1530</v>
      </c>
      <c r="C1276" s="2" t="s">
        <v>1155</v>
      </c>
      <c r="D1276" s="8">
        <v>46029</v>
      </c>
      <c r="E1276" s="8"/>
      <c r="F1276" s="8">
        <v>46060</v>
      </c>
      <c r="G1276" s="8">
        <v>46044</v>
      </c>
      <c r="H1276" s="2" t="s">
        <v>1348</v>
      </c>
      <c r="I1276">
        <f>_xlfn.XLOOKUP(H1276,Hoja1!H:H,Hoja1!G:G)</f>
        <v>2297</v>
      </c>
      <c r="J1276">
        <f>VLOOKUP(B1276,Hoja2!P:Q,2,0)</f>
        <v>4</v>
      </c>
      <c r="K1276" t="str">
        <f t="shared" ref="K1276:K1339" si="0">"update formulario set id_categoria_formulario = "&amp;J1276&amp;" where id ="&amp;I1276&amp;";"</f>
        <v>update formulario set id_categoria_formulario = 4 where id =2297;</v>
      </c>
    </row>
    <row r="1277" spans="1:11" ht="17.25">
      <c r="A1277" s="2" t="s">
        <v>1586</v>
      </c>
      <c r="B1277" s="2" t="s">
        <v>1157</v>
      </c>
      <c r="C1277" s="2" t="s">
        <v>1033</v>
      </c>
      <c r="D1277" s="8">
        <v>46027</v>
      </c>
      <c r="E1277" s="8"/>
      <c r="F1277" s="8">
        <v>46096</v>
      </c>
      <c r="G1277" s="8">
        <v>46042</v>
      </c>
      <c r="H1277" s="31" t="s">
        <v>1162</v>
      </c>
      <c r="I1277">
        <f>_xlfn.XLOOKUP(H1277,Hoja1!H:H,Hoja1!G:G)</f>
        <v>2304</v>
      </c>
      <c r="J1277">
        <f>VLOOKUP(B1277,Hoja2!P:Q,2,0)</f>
        <v>5</v>
      </c>
      <c r="K1277" t="str">
        <f t="shared" si="0"/>
        <v>update formulario set id_categoria_formulario = 5 where id =2304;</v>
      </c>
    </row>
    <row r="1278" spans="1:11">
      <c r="A1278" s="2" t="s">
        <v>10</v>
      </c>
      <c r="B1278" t="s">
        <v>1530</v>
      </c>
      <c r="C1278" s="2" t="s">
        <v>1155</v>
      </c>
      <c r="D1278" s="8">
        <v>46029</v>
      </c>
      <c r="E1278" s="8"/>
      <c r="F1278" s="8">
        <v>46060</v>
      </c>
      <c r="G1278" s="8">
        <v>46044</v>
      </c>
      <c r="H1278" s="2" t="s">
        <v>1349</v>
      </c>
      <c r="I1278">
        <f>_xlfn.XLOOKUP(H1278,Hoja1!H:H,Hoja1!G:G)</f>
        <v>2309</v>
      </c>
      <c r="J1278">
        <f>VLOOKUP(B1278,Hoja2!P:Q,2,0)</f>
        <v>4</v>
      </c>
      <c r="K1278" t="str">
        <f t="shared" si="0"/>
        <v>update formulario set id_categoria_formulario = 4 where id =2309;</v>
      </c>
    </row>
    <row r="1279" spans="1:11">
      <c r="A1279" s="2" t="s">
        <v>10</v>
      </c>
      <c r="B1279" t="s">
        <v>1530</v>
      </c>
      <c r="C1279" s="2" t="s">
        <v>1155</v>
      </c>
      <c r="D1279" s="8">
        <v>46029</v>
      </c>
      <c r="E1279" s="8"/>
      <c r="F1279" s="8">
        <v>46060</v>
      </c>
      <c r="G1279" s="8">
        <v>46044</v>
      </c>
      <c r="H1279" s="2" t="s">
        <v>1350</v>
      </c>
      <c r="I1279">
        <f>_xlfn.XLOOKUP(H1279,Hoja1!H:H,Hoja1!G:G)</f>
        <v>2321</v>
      </c>
      <c r="J1279">
        <f>VLOOKUP(B1279,Hoja2!P:Q,2,0)</f>
        <v>4</v>
      </c>
      <c r="K1279" t="str">
        <f t="shared" si="0"/>
        <v>update formulario set id_categoria_formulario = 4 where id =2321;</v>
      </c>
    </row>
    <row r="1280" spans="1:11">
      <c r="A1280" s="2" t="s">
        <v>1586</v>
      </c>
      <c r="B1280" s="2" t="s">
        <v>1157</v>
      </c>
      <c r="C1280" s="2" t="s">
        <v>1158</v>
      </c>
      <c r="D1280" s="8">
        <v>46028</v>
      </c>
      <c r="E1280" s="8">
        <v>46038</v>
      </c>
      <c r="F1280" s="8">
        <v>46048</v>
      </c>
      <c r="G1280" s="8">
        <f t="shared" ref="G1280:G1299" si="1">WORKDAY.INTL(F1280,10,1,0)+1</f>
        <v>46063</v>
      </c>
      <c r="H1280" s="2" t="s">
        <v>1160</v>
      </c>
      <c r="I1280">
        <f>_xlfn.XLOOKUP(H1280,Hoja1!H:H,Hoja1!G:G)</f>
        <v>2324</v>
      </c>
      <c r="J1280">
        <f>VLOOKUP(B1280,Hoja2!P:Q,2,0)</f>
        <v>5</v>
      </c>
      <c r="K1280" t="str">
        <f t="shared" si="0"/>
        <v>update formulario set id_categoria_formulario = 5 where id =2324;</v>
      </c>
    </row>
    <row r="1281" spans="1:11">
      <c r="A1281" s="2" t="s">
        <v>1586</v>
      </c>
      <c r="B1281" s="2" t="s">
        <v>1157</v>
      </c>
      <c r="C1281" s="2" t="s">
        <v>1165</v>
      </c>
      <c r="D1281" s="8">
        <v>46030</v>
      </c>
      <c r="E1281" s="8">
        <v>46051</v>
      </c>
      <c r="F1281" s="8">
        <v>46063</v>
      </c>
      <c r="G1281" s="8">
        <f t="shared" si="1"/>
        <v>46078</v>
      </c>
      <c r="H1281" s="2" t="s">
        <v>1161</v>
      </c>
      <c r="I1281">
        <f>_xlfn.XLOOKUP(H1281,Hoja1!H:H,Hoja1!G:G)</f>
        <v>2325</v>
      </c>
      <c r="J1281">
        <f>VLOOKUP(B1281,Hoja2!P:Q,2,0)</f>
        <v>5</v>
      </c>
      <c r="K1281" t="str">
        <f t="shared" si="0"/>
        <v>update formulario set id_categoria_formulario = 5 where id =2325;</v>
      </c>
    </row>
    <row r="1282" spans="1:11">
      <c r="A1282" s="2" t="s">
        <v>1586</v>
      </c>
      <c r="B1282" s="2" t="s">
        <v>1157</v>
      </c>
      <c r="C1282" s="2" t="s">
        <v>1165</v>
      </c>
      <c r="D1282" s="8">
        <v>46027</v>
      </c>
      <c r="E1282" s="8">
        <v>46041</v>
      </c>
      <c r="F1282" s="8">
        <v>46096</v>
      </c>
      <c r="G1282" s="8">
        <f t="shared" si="1"/>
        <v>46109</v>
      </c>
      <c r="H1282" s="2" t="s">
        <v>1162</v>
      </c>
      <c r="I1282">
        <f>_xlfn.XLOOKUP(H1282,Hoja1!H:H,Hoja1!G:G)</f>
        <v>2304</v>
      </c>
      <c r="J1282">
        <f>VLOOKUP(B1282,Hoja2!P:Q,2,0)</f>
        <v>5</v>
      </c>
      <c r="K1282" t="str">
        <f t="shared" si="0"/>
        <v>update formulario set id_categoria_formulario = 5 where id =2304;</v>
      </c>
    </row>
    <row r="1283" spans="1:11" ht="13.9" customHeight="1">
      <c r="A1283" s="2" t="s">
        <v>1586</v>
      </c>
      <c r="B1283" s="2" t="s">
        <v>1157</v>
      </c>
      <c r="C1283" s="2" t="s">
        <v>1158</v>
      </c>
      <c r="D1283" s="8">
        <v>46024</v>
      </c>
      <c r="E1283" s="8">
        <v>46041</v>
      </c>
      <c r="F1283" s="8">
        <v>46053</v>
      </c>
      <c r="G1283" s="8">
        <f t="shared" si="1"/>
        <v>46067</v>
      </c>
      <c r="H1283" s="2" t="s">
        <v>1163</v>
      </c>
      <c r="I1283">
        <f>_xlfn.XLOOKUP(H1283,Hoja1!H:H,Hoja1!G:G)</f>
        <v>2322</v>
      </c>
      <c r="J1283">
        <f>VLOOKUP(B1283,Hoja2!P:Q,2,0)</f>
        <v>5</v>
      </c>
      <c r="K1283" t="str">
        <f t="shared" si="0"/>
        <v>update formulario set id_categoria_formulario = 5 where id =2322;</v>
      </c>
    </row>
    <row r="1284" spans="1:11">
      <c r="A1284" s="2" t="s">
        <v>1586</v>
      </c>
      <c r="B1284" s="2" t="s">
        <v>1157</v>
      </c>
      <c r="C1284" s="2" t="s">
        <v>1158</v>
      </c>
      <c r="D1284" s="8">
        <v>46024</v>
      </c>
      <c r="E1284" s="8">
        <v>46041</v>
      </c>
      <c r="F1284" s="8">
        <v>46053</v>
      </c>
      <c r="G1284" s="8">
        <f t="shared" si="1"/>
        <v>46067</v>
      </c>
      <c r="H1284" s="2" t="s">
        <v>1164</v>
      </c>
      <c r="I1284">
        <f>_xlfn.XLOOKUP(H1284,Hoja1!H:H,Hoja1!G:G)</f>
        <v>2323</v>
      </c>
      <c r="J1284">
        <f>VLOOKUP(B1284,Hoja2!P:Q,2,0)</f>
        <v>5</v>
      </c>
      <c r="K1284" t="str">
        <f t="shared" si="0"/>
        <v>update formulario set id_categoria_formulario = 5 where id =2323;</v>
      </c>
    </row>
    <row r="1285" spans="1:11">
      <c r="A1285" s="2" t="s">
        <v>1587</v>
      </c>
      <c r="B1285" s="2" t="s">
        <v>1351</v>
      </c>
      <c r="C1285" s="2" t="s">
        <v>1353</v>
      </c>
      <c r="D1285" s="8">
        <v>46029</v>
      </c>
      <c r="E1285" s="8">
        <v>46034</v>
      </c>
      <c r="F1285" s="8">
        <v>46084</v>
      </c>
      <c r="G1285" s="8">
        <f t="shared" si="1"/>
        <v>46099</v>
      </c>
      <c r="H1285" s="2" t="s">
        <v>1352</v>
      </c>
      <c r="I1285">
        <f>_xlfn.XLOOKUP(H1285,Hoja1!H:H,Hoja1!G:G)</f>
        <v>2307</v>
      </c>
      <c r="J1285">
        <f>VLOOKUP(B1285,Hoja2!P:Q,2,0)</f>
        <v>6</v>
      </c>
      <c r="K1285" t="str">
        <f t="shared" si="0"/>
        <v>update formulario set id_categoria_formulario = 6 where id =2307;</v>
      </c>
    </row>
    <row r="1286" spans="1:11">
      <c r="A1286" t="s">
        <v>1354</v>
      </c>
      <c r="B1286" t="s">
        <v>1351</v>
      </c>
      <c r="C1286" t="s">
        <v>1355</v>
      </c>
      <c r="D1286" s="8">
        <v>46029</v>
      </c>
      <c r="E1286" s="8">
        <v>46034</v>
      </c>
      <c r="F1286" s="8">
        <v>46084</v>
      </c>
      <c r="G1286" s="8">
        <f t="shared" si="1"/>
        <v>46099</v>
      </c>
      <c r="H1286" s="2" t="s">
        <v>1356</v>
      </c>
      <c r="I1286">
        <f>_xlfn.XLOOKUP(H1286,Hoja1!H:H,Hoja1!G:G)</f>
        <v>2326</v>
      </c>
      <c r="J1286">
        <f>VLOOKUP(B1286,Hoja2!P:Q,2,0)</f>
        <v>6</v>
      </c>
      <c r="K1286" t="str">
        <f t="shared" si="0"/>
        <v>update formulario set id_categoria_formulario = 6 where id =2326;</v>
      </c>
    </row>
    <row r="1287" spans="1:11">
      <c r="A1287" t="s">
        <v>10</v>
      </c>
      <c r="B1287" t="s">
        <v>1357</v>
      </c>
      <c r="C1287" t="s">
        <v>1358</v>
      </c>
      <c r="D1287" s="8">
        <v>46028</v>
      </c>
      <c r="E1287" s="8"/>
      <c r="F1287" s="8">
        <v>46053</v>
      </c>
      <c r="G1287" s="8">
        <f t="shared" si="1"/>
        <v>46067</v>
      </c>
      <c r="H1287" s="17" t="s">
        <v>1360</v>
      </c>
      <c r="I1287">
        <f>_xlfn.XLOOKUP(H1287,Hoja1!H:H,Hoja1!G:G)</f>
        <v>2328</v>
      </c>
      <c r="J1287">
        <f>VLOOKUP(B1287,Hoja2!P:Q,2,0)</f>
        <v>7</v>
      </c>
      <c r="K1287" t="str">
        <f t="shared" si="0"/>
        <v>update formulario set id_categoria_formulario = 7 where id =2328;</v>
      </c>
    </row>
    <row r="1288" spans="1:11">
      <c r="A1288" t="s">
        <v>10</v>
      </c>
      <c r="B1288" t="s">
        <v>1357</v>
      </c>
      <c r="C1288" t="s">
        <v>1358</v>
      </c>
      <c r="D1288" s="8">
        <v>46028</v>
      </c>
      <c r="E1288" s="8"/>
      <c r="F1288" s="8">
        <v>46053</v>
      </c>
      <c r="G1288" s="8">
        <f t="shared" si="1"/>
        <v>46067</v>
      </c>
      <c r="H1288" s="17" t="s">
        <v>1361</v>
      </c>
      <c r="I1288">
        <f>_xlfn.XLOOKUP(H1288,Hoja1!H:H,Hoja1!G:G)</f>
        <v>2329</v>
      </c>
      <c r="J1288">
        <f>VLOOKUP(B1288,Hoja2!P:Q,2,0)</f>
        <v>7</v>
      </c>
      <c r="K1288" t="str">
        <f t="shared" si="0"/>
        <v>update formulario set id_categoria_formulario = 7 where id =2329;</v>
      </c>
    </row>
    <row r="1289" spans="1:11">
      <c r="A1289" t="s">
        <v>10</v>
      </c>
      <c r="B1289" t="s">
        <v>1357</v>
      </c>
      <c r="C1289" t="s">
        <v>1358</v>
      </c>
      <c r="D1289" s="8">
        <v>46028</v>
      </c>
      <c r="E1289" s="8"/>
      <c r="F1289" s="8">
        <v>46053</v>
      </c>
      <c r="G1289" s="8">
        <f t="shared" si="1"/>
        <v>46067</v>
      </c>
      <c r="H1289" s="17" t="s">
        <v>1362</v>
      </c>
      <c r="I1289">
        <f>_xlfn.XLOOKUP(H1289,Hoja1!H:H,Hoja1!G:G)</f>
        <v>2330</v>
      </c>
      <c r="J1289">
        <f>VLOOKUP(B1289,Hoja2!P:Q,2,0)</f>
        <v>7</v>
      </c>
      <c r="K1289" t="str">
        <f t="shared" si="0"/>
        <v>update formulario set id_categoria_formulario = 7 where id =2330;</v>
      </c>
    </row>
    <row r="1290" spans="1:11">
      <c r="A1290" t="s">
        <v>10</v>
      </c>
      <c r="B1290" t="s">
        <v>1357</v>
      </c>
      <c r="C1290" t="s">
        <v>1359</v>
      </c>
      <c r="D1290" s="8">
        <v>46028</v>
      </c>
      <c r="E1290" s="8"/>
      <c r="F1290" s="8">
        <v>46053</v>
      </c>
      <c r="G1290" s="8">
        <f t="shared" si="1"/>
        <v>46067</v>
      </c>
      <c r="H1290" s="17" t="s">
        <v>1363</v>
      </c>
      <c r="I1290">
        <f>_xlfn.XLOOKUP(H1290,Hoja1!H:H,Hoja1!G:G)</f>
        <v>2331</v>
      </c>
      <c r="J1290">
        <f>VLOOKUP(B1290,Hoja2!P:Q,2,0)</f>
        <v>7</v>
      </c>
      <c r="K1290" t="str">
        <f t="shared" si="0"/>
        <v>update formulario set id_categoria_formulario = 7 where id =2331;</v>
      </c>
    </row>
    <row r="1291" spans="1:11">
      <c r="A1291" t="s">
        <v>10</v>
      </c>
      <c r="B1291" t="s">
        <v>1357</v>
      </c>
      <c r="C1291" t="s">
        <v>1359</v>
      </c>
      <c r="D1291" s="8">
        <v>46028</v>
      </c>
      <c r="E1291" s="8"/>
      <c r="F1291" s="8">
        <v>46053</v>
      </c>
      <c r="G1291" s="8">
        <f t="shared" si="1"/>
        <v>46067</v>
      </c>
      <c r="H1291" s="17" t="s">
        <v>1364</v>
      </c>
      <c r="I1291">
        <f>_xlfn.XLOOKUP(H1291,Hoja1!H:H,Hoja1!G:G)</f>
        <v>2332</v>
      </c>
      <c r="J1291">
        <f>VLOOKUP(B1291,Hoja2!P:Q,2,0)</f>
        <v>7</v>
      </c>
      <c r="K1291" t="str">
        <f t="shared" si="0"/>
        <v>update formulario set id_categoria_formulario = 7 where id =2332;</v>
      </c>
    </row>
    <row r="1292" spans="1:11">
      <c r="A1292" t="s">
        <v>10</v>
      </c>
      <c r="B1292" t="s">
        <v>1357</v>
      </c>
      <c r="C1292" t="s">
        <v>1359</v>
      </c>
      <c r="D1292" s="8">
        <v>46028</v>
      </c>
      <c r="E1292" s="8"/>
      <c r="F1292" s="8">
        <v>46053</v>
      </c>
      <c r="G1292" s="8">
        <f t="shared" si="1"/>
        <v>46067</v>
      </c>
      <c r="H1292" s="17" t="s">
        <v>1365</v>
      </c>
      <c r="I1292">
        <f>_xlfn.XLOOKUP(H1292,Hoja1!H:H,Hoja1!G:G)</f>
        <v>2333</v>
      </c>
      <c r="J1292">
        <f>VLOOKUP(B1292,Hoja2!P:Q,2,0)</f>
        <v>7</v>
      </c>
      <c r="K1292" t="str">
        <f t="shared" si="0"/>
        <v>update formulario set id_categoria_formulario = 7 where id =2333;</v>
      </c>
    </row>
    <row r="1293" spans="1:11">
      <c r="A1293" t="s">
        <v>1586</v>
      </c>
      <c r="B1293" t="s">
        <v>1366</v>
      </c>
      <c r="C1293" t="s">
        <v>1367</v>
      </c>
      <c r="D1293" s="8">
        <v>46030</v>
      </c>
      <c r="E1293" s="8">
        <v>46044</v>
      </c>
      <c r="F1293" s="8">
        <v>46063</v>
      </c>
      <c r="G1293" s="8">
        <f t="shared" si="1"/>
        <v>46078</v>
      </c>
      <c r="H1293" s="17" t="s">
        <v>1368</v>
      </c>
      <c r="I1293">
        <f>_xlfn.XLOOKUP(H1293,Hoja1!H:H,Hoja1!G:G)</f>
        <v>2349</v>
      </c>
      <c r="J1293">
        <f>VLOOKUP(B1293,Hoja2!P:Q,2,0)</f>
        <v>3</v>
      </c>
      <c r="K1293" t="str">
        <f t="shared" si="0"/>
        <v>update formulario set id_categoria_formulario = 3 where id =2349;</v>
      </c>
    </row>
    <row r="1294" spans="1:11">
      <c r="A1294" s="2" t="s">
        <v>1588</v>
      </c>
      <c r="B1294" t="s">
        <v>1369</v>
      </c>
      <c r="C1294" t="s">
        <v>1375</v>
      </c>
      <c r="D1294" s="8">
        <v>46049</v>
      </c>
      <c r="F1294" s="8">
        <v>46076</v>
      </c>
      <c r="G1294" s="8">
        <f t="shared" si="1"/>
        <v>46091</v>
      </c>
      <c r="H1294" s="17" t="s">
        <v>1370</v>
      </c>
      <c r="I1294">
        <f>_xlfn.XLOOKUP(H1294,Hoja1!H:H,Hoja1!G:G)</f>
        <v>2353</v>
      </c>
      <c r="J1294">
        <f>VLOOKUP(B1294,Hoja2!P:Q,2,0)</f>
        <v>8</v>
      </c>
      <c r="K1294" t="str">
        <f t="shared" si="0"/>
        <v>update formulario set id_categoria_formulario = 8 where id =2353;</v>
      </c>
    </row>
    <row r="1295" spans="1:11">
      <c r="A1295" s="2" t="s">
        <v>1588</v>
      </c>
      <c r="B1295" t="s">
        <v>1369</v>
      </c>
      <c r="C1295" t="s">
        <v>1375</v>
      </c>
      <c r="D1295" s="8">
        <v>46049</v>
      </c>
      <c r="F1295" s="8">
        <v>46076</v>
      </c>
      <c r="G1295" s="8">
        <f t="shared" si="1"/>
        <v>46091</v>
      </c>
      <c r="H1295" s="17" t="s">
        <v>1371</v>
      </c>
      <c r="I1295">
        <f>_xlfn.XLOOKUP(H1295,Hoja1!H:H,Hoja1!G:G)</f>
        <v>2354</v>
      </c>
      <c r="J1295">
        <f>VLOOKUP(B1295,Hoja2!P:Q,2,0)</f>
        <v>8</v>
      </c>
      <c r="K1295" t="str">
        <f t="shared" si="0"/>
        <v>update formulario set id_categoria_formulario = 8 where id =2354;</v>
      </c>
    </row>
    <row r="1296" spans="1:11">
      <c r="A1296" s="2" t="s">
        <v>1588</v>
      </c>
      <c r="B1296" t="s">
        <v>1369</v>
      </c>
      <c r="C1296" t="s">
        <v>1375</v>
      </c>
      <c r="D1296" s="8">
        <v>46042</v>
      </c>
      <c r="F1296" s="8">
        <v>46082</v>
      </c>
      <c r="G1296" s="8">
        <f t="shared" si="1"/>
        <v>46095</v>
      </c>
      <c r="H1296" s="17" t="s">
        <v>1372</v>
      </c>
      <c r="I1296">
        <f>_xlfn.XLOOKUP(H1296,Hoja1!H:H,Hoja1!G:G)</f>
        <v>2357</v>
      </c>
      <c r="J1296">
        <f>VLOOKUP(B1296,Hoja2!P:Q,2,0)</f>
        <v>8</v>
      </c>
      <c r="K1296" t="str">
        <f t="shared" si="0"/>
        <v>update formulario set id_categoria_formulario = 8 where id =2357;</v>
      </c>
    </row>
    <row r="1297" spans="1:11">
      <c r="A1297" s="2" t="s">
        <v>1588</v>
      </c>
      <c r="B1297" t="s">
        <v>1369</v>
      </c>
      <c r="C1297" t="s">
        <v>1375</v>
      </c>
      <c r="D1297" s="8">
        <v>46048</v>
      </c>
      <c r="F1297" s="8">
        <v>46082</v>
      </c>
      <c r="G1297" s="8">
        <f t="shared" si="1"/>
        <v>46095</v>
      </c>
      <c r="H1297" s="17" t="s">
        <v>1373</v>
      </c>
      <c r="I1297">
        <f>_xlfn.XLOOKUP(H1297,Hoja1!H:H,Hoja1!G:G)</f>
        <v>2355</v>
      </c>
      <c r="J1297">
        <f>VLOOKUP(B1297,Hoja2!P:Q,2,0)</f>
        <v>8</v>
      </c>
      <c r="K1297" t="str">
        <f t="shared" si="0"/>
        <v>update formulario set id_categoria_formulario = 8 where id =2355;</v>
      </c>
    </row>
    <row r="1298" spans="1:11">
      <c r="A1298" s="2" t="s">
        <v>1588</v>
      </c>
      <c r="B1298" t="s">
        <v>1369</v>
      </c>
      <c r="C1298" t="s">
        <v>1375</v>
      </c>
      <c r="D1298" s="8">
        <v>46042</v>
      </c>
      <c r="F1298" s="8">
        <v>46081</v>
      </c>
      <c r="G1298" s="8">
        <f t="shared" si="1"/>
        <v>46095</v>
      </c>
      <c r="H1298" s="17" t="s">
        <v>1374</v>
      </c>
      <c r="I1298">
        <f>_xlfn.XLOOKUP(H1298,Hoja1!H:H,Hoja1!G:G)</f>
        <v>2372</v>
      </c>
      <c r="J1298">
        <f>VLOOKUP(B1298,Hoja2!P:Q,2,0)</f>
        <v>8</v>
      </c>
      <c r="K1298" t="str">
        <f t="shared" si="0"/>
        <v>update formulario set id_categoria_formulario = 8 where id =2372;</v>
      </c>
    </row>
    <row r="1299" spans="1:11">
      <c r="A1299" t="s">
        <v>10</v>
      </c>
      <c r="B1299" t="s">
        <v>1357</v>
      </c>
      <c r="C1299" t="s">
        <v>1376</v>
      </c>
      <c r="D1299" s="8">
        <v>46041</v>
      </c>
      <c r="E1299" s="8">
        <v>46073</v>
      </c>
      <c r="F1299" s="8">
        <v>46081</v>
      </c>
      <c r="G1299" s="8">
        <f t="shared" si="1"/>
        <v>46095</v>
      </c>
      <c r="H1299" s="17" t="s">
        <v>1377</v>
      </c>
      <c r="I1299">
        <f>_xlfn.XLOOKUP(H1299,Hoja1!H:H,Hoja1!G:G)</f>
        <v>2383</v>
      </c>
      <c r="J1299">
        <f>VLOOKUP(B1299,Hoja2!P:Q,2,0)</f>
        <v>7</v>
      </c>
      <c r="K1299" t="str">
        <f t="shared" si="0"/>
        <v>update formulario set id_categoria_formulario = 7 where id =2383;</v>
      </c>
    </row>
    <row r="1300" spans="1:11">
      <c r="A1300" t="s">
        <v>10</v>
      </c>
      <c r="B1300" t="s">
        <v>1357</v>
      </c>
      <c r="C1300" t="s">
        <v>1376</v>
      </c>
      <c r="D1300" s="8">
        <v>46041</v>
      </c>
      <c r="E1300" s="8">
        <v>46073</v>
      </c>
      <c r="F1300" s="8">
        <v>46081</v>
      </c>
      <c r="G1300" s="8">
        <f t="shared" ref="G1300:G1307" si="2">WORKDAY.INTL(F1300,10,1,0)+1</f>
        <v>46095</v>
      </c>
      <c r="H1300" s="17" t="s">
        <v>1378</v>
      </c>
      <c r="I1300">
        <f>_xlfn.XLOOKUP(H1300,Hoja1!H:H,Hoja1!G:G)</f>
        <v>2381</v>
      </c>
      <c r="J1300">
        <f>VLOOKUP(B1300,Hoja2!P:Q,2,0)</f>
        <v>7</v>
      </c>
      <c r="K1300" t="str">
        <f t="shared" si="0"/>
        <v>update formulario set id_categoria_formulario = 7 where id =2381;</v>
      </c>
    </row>
    <row r="1301" spans="1:11">
      <c r="A1301" t="s">
        <v>10</v>
      </c>
      <c r="B1301" t="s">
        <v>1357</v>
      </c>
      <c r="C1301" t="s">
        <v>1376</v>
      </c>
      <c r="D1301" s="8">
        <v>46041</v>
      </c>
      <c r="E1301" s="8">
        <v>46073</v>
      </c>
      <c r="F1301" s="8">
        <v>46081</v>
      </c>
      <c r="G1301" s="8">
        <f t="shared" si="2"/>
        <v>46095</v>
      </c>
      <c r="H1301" s="17" t="s">
        <v>1379</v>
      </c>
      <c r="I1301">
        <f>_xlfn.XLOOKUP(H1301,Hoja1!H:H,Hoja1!G:G)</f>
        <v>2380</v>
      </c>
      <c r="J1301">
        <f>VLOOKUP(B1301,Hoja2!P:Q,2,0)</f>
        <v>7</v>
      </c>
      <c r="K1301" t="str">
        <f t="shared" si="0"/>
        <v>update formulario set id_categoria_formulario = 7 where id =2380;</v>
      </c>
    </row>
    <row r="1302" spans="1:11">
      <c r="A1302" t="s">
        <v>10</v>
      </c>
      <c r="B1302" t="s">
        <v>1357</v>
      </c>
      <c r="C1302" t="s">
        <v>1376</v>
      </c>
      <c r="D1302" s="8">
        <v>46041</v>
      </c>
      <c r="E1302" s="8">
        <v>46073</v>
      </c>
      <c r="F1302" s="8">
        <v>46081</v>
      </c>
      <c r="G1302" s="8">
        <f t="shared" si="2"/>
        <v>46095</v>
      </c>
      <c r="H1302" s="17" t="s">
        <v>1380</v>
      </c>
      <c r="I1302">
        <f>_xlfn.XLOOKUP(H1302,Hoja1!H:H,Hoja1!G:G)</f>
        <v>2382</v>
      </c>
      <c r="J1302">
        <f>VLOOKUP(B1302,Hoja2!P:Q,2,0)</f>
        <v>7</v>
      </c>
      <c r="K1302" t="str">
        <f t="shared" si="0"/>
        <v>update formulario set id_categoria_formulario = 7 where id =2382;</v>
      </c>
    </row>
    <row r="1303" spans="1:11">
      <c r="A1303" t="s">
        <v>10</v>
      </c>
      <c r="B1303" t="s">
        <v>1357</v>
      </c>
      <c r="C1303" t="s">
        <v>1376</v>
      </c>
      <c r="D1303" s="8">
        <v>46041</v>
      </c>
      <c r="E1303" s="8">
        <v>46073</v>
      </c>
      <c r="F1303" s="8">
        <v>46081</v>
      </c>
      <c r="G1303" s="8">
        <f t="shared" si="2"/>
        <v>46095</v>
      </c>
      <c r="H1303" s="17" t="s">
        <v>1381</v>
      </c>
      <c r="I1303">
        <f>_xlfn.XLOOKUP(H1303,Hoja1!H:H,Hoja1!G:G)</f>
        <v>2379</v>
      </c>
      <c r="J1303">
        <f>VLOOKUP(B1303,Hoja2!P:Q,2,0)</f>
        <v>7</v>
      </c>
      <c r="K1303" t="str">
        <f t="shared" si="0"/>
        <v>update formulario set id_categoria_formulario = 7 where id =2379;</v>
      </c>
    </row>
    <row r="1304" spans="1:11">
      <c r="A1304" t="s">
        <v>10</v>
      </c>
      <c r="B1304" t="s">
        <v>1357</v>
      </c>
      <c r="C1304" t="s">
        <v>1376</v>
      </c>
      <c r="D1304" s="8">
        <v>46041</v>
      </c>
      <c r="E1304" s="8">
        <v>46073</v>
      </c>
      <c r="F1304" s="8">
        <v>46081</v>
      </c>
      <c r="G1304" s="8">
        <f t="shared" si="2"/>
        <v>46095</v>
      </c>
      <c r="H1304" s="17" t="s">
        <v>1382</v>
      </c>
      <c r="I1304">
        <f>_xlfn.XLOOKUP(H1304,Hoja1!H:H,Hoja1!G:G)</f>
        <v>2384</v>
      </c>
      <c r="J1304">
        <f>VLOOKUP(B1304,Hoja2!P:Q,2,0)</f>
        <v>7</v>
      </c>
      <c r="K1304" t="str">
        <f t="shared" si="0"/>
        <v>update formulario set id_categoria_formulario = 7 where id =2384;</v>
      </c>
    </row>
    <row r="1305" spans="1:11">
      <c r="A1305" t="s">
        <v>10</v>
      </c>
      <c r="B1305" t="s">
        <v>1357</v>
      </c>
      <c r="C1305" t="s">
        <v>1376</v>
      </c>
      <c r="D1305" s="8">
        <v>46041</v>
      </c>
      <c r="E1305" s="8">
        <v>46073</v>
      </c>
      <c r="F1305" s="8">
        <v>46081</v>
      </c>
      <c r="G1305" s="8">
        <f t="shared" si="2"/>
        <v>46095</v>
      </c>
      <c r="H1305" s="17" t="s">
        <v>1383</v>
      </c>
      <c r="I1305">
        <f>_xlfn.XLOOKUP(H1305,Hoja1!H:H,Hoja1!G:G)</f>
        <v>2385</v>
      </c>
      <c r="J1305">
        <f>VLOOKUP(B1305,Hoja2!P:Q,2,0)</f>
        <v>7</v>
      </c>
      <c r="K1305" t="str">
        <f t="shared" si="0"/>
        <v>update formulario set id_categoria_formulario = 7 where id =2385;</v>
      </c>
    </row>
    <row r="1306" spans="1:11">
      <c r="A1306" t="s">
        <v>1586</v>
      </c>
      <c r="B1306" t="s">
        <v>1366</v>
      </c>
      <c r="C1306" t="s">
        <v>1384</v>
      </c>
      <c r="D1306" s="8">
        <v>46044</v>
      </c>
      <c r="E1306" s="8">
        <v>46055</v>
      </c>
      <c r="F1306" s="8">
        <v>46067</v>
      </c>
      <c r="G1306" s="8">
        <f t="shared" si="2"/>
        <v>46081</v>
      </c>
      <c r="H1306" s="17" t="s">
        <v>1385</v>
      </c>
      <c r="I1306">
        <f>_xlfn.XLOOKUP(H1306,Hoja1!H:H,Hoja1!G:G)</f>
        <v>2390</v>
      </c>
      <c r="J1306">
        <f>VLOOKUP(B1306,Hoja2!P:Q,2,0)</f>
        <v>3</v>
      </c>
      <c r="K1306" t="str">
        <f t="shared" si="0"/>
        <v>update formulario set id_categoria_formulario = 3 where id =2390;</v>
      </c>
    </row>
    <row r="1307" spans="1:11">
      <c r="A1307" t="s">
        <v>10</v>
      </c>
      <c r="B1307" t="s">
        <v>1386</v>
      </c>
      <c r="C1307" t="s">
        <v>1387</v>
      </c>
      <c r="D1307" s="8">
        <v>46049</v>
      </c>
      <c r="E1307" s="8">
        <v>46052</v>
      </c>
      <c r="F1307" s="8">
        <v>46104</v>
      </c>
      <c r="G1307" s="8">
        <f t="shared" si="2"/>
        <v>46119</v>
      </c>
      <c r="H1307" s="17" t="s">
        <v>1388</v>
      </c>
      <c r="I1307">
        <f>_xlfn.XLOOKUP(H1307,Hoja1!H:H,Hoja1!G:G)</f>
        <v>2391</v>
      </c>
      <c r="J1307">
        <f>VLOOKUP(B1307,Hoja2!P:Q,2,0)</f>
        <v>9</v>
      </c>
      <c r="K1307" t="str">
        <f t="shared" si="0"/>
        <v>update formulario set id_categoria_formulario = 9 where id =2391;</v>
      </c>
    </row>
    <row r="1308" spans="1:11">
      <c r="A1308" t="s">
        <v>10</v>
      </c>
      <c r="B1308" t="s">
        <v>1386</v>
      </c>
      <c r="C1308" t="s">
        <v>1387</v>
      </c>
      <c r="D1308" s="8">
        <v>46049</v>
      </c>
      <c r="E1308" s="8">
        <v>46052</v>
      </c>
      <c r="F1308" s="8">
        <v>46104</v>
      </c>
      <c r="G1308" s="8">
        <f t="shared" ref="G1308:G1313" si="3">WORKDAY.INTL(F1308,10,1,0)+1</f>
        <v>46119</v>
      </c>
      <c r="H1308" s="17" t="s">
        <v>1389</v>
      </c>
      <c r="I1308">
        <f>_xlfn.XLOOKUP(H1308,Hoja1!H:H,Hoja1!G:G)</f>
        <v>2392</v>
      </c>
      <c r="J1308">
        <f>VLOOKUP(B1308,Hoja2!P:Q,2,0)</f>
        <v>9</v>
      </c>
      <c r="K1308" t="str">
        <f t="shared" si="0"/>
        <v>update formulario set id_categoria_formulario = 9 where id =2392;</v>
      </c>
    </row>
    <row r="1309" spans="1:11">
      <c r="A1309" t="s">
        <v>10</v>
      </c>
      <c r="B1309" t="s">
        <v>1386</v>
      </c>
      <c r="C1309" t="s">
        <v>1387</v>
      </c>
      <c r="D1309" s="8">
        <v>46049</v>
      </c>
      <c r="E1309" s="8">
        <v>46052</v>
      </c>
      <c r="F1309" s="8">
        <v>46104</v>
      </c>
      <c r="G1309" s="8">
        <f t="shared" si="3"/>
        <v>46119</v>
      </c>
      <c r="H1309" s="17" t="s">
        <v>1390</v>
      </c>
      <c r="I1309">
        <f>_xlfn.XLOOKUP(H1309,Hoja1!H:H,Hoja1!G:G)</f>
        <v>2395</v>
      </c>
      <c r="J1309">
        <f>VLOOKUP(B1309,Hoja2!P:Q,2,0)</f>
        <v>9</v>
      </c>
      <c r="K1309" t="str">
        <f t="shared" si="0"/>
        <v>update formulario set id_categoria_formulario = 9 where id =2395;</v>
      </c>
    </row>
    <row r="1310" spans="1:11">
      <c r="A1310" t="s">
        <v>10</v>
      </c>
      <c r="B1310" t="s">
        <v>1386</v>
      </c>
      <c r="C1310" t="s">
        <v>1387</v>
      </c>
      <c r="D1310" s="8">
        <v>46049</v>
      </c>
      <c r="E1310" s="8">
        <v>46052</v>
      </c>
      <c r="F1310" s="8">
        <v>46104</v>
      </c>
      <c r="G1310" s="8">
        <f t="shared" si="3"/>
        <v>46119</v>
      </c>
      <c r="H1310" s="17" t="s">
        <v>1391</v>
      </c>
      <c r="I1310">
        <f>_xlfn.XLOOKUP(H1310,Hoja1!H:H,Hoja1!G:G)</f>
        <v>2396</v>
      </c>
      <c r="J1310">
        <f>VLOOKUP(B1310,Hoja2!P:Q,2,0)</f>
        <v>9</v>
      </c>
      <c r="K1310" t="str">
        <f t="shared" si="0"/>
        <v>update formulario set id_categoria_formulario = 9 where id =2396;</v>
      </c>
    </row>
    <row r="1311" spans="1:11">
      <c r="A1311" t="s">
        <v>10</v>
      </c>
      <c r="B1311" t="s">
        <v>1386</v>
      </c>
      <c r="C1311" t="s">
        <v>1387</v>
      </c>
      <c r="D1311" s="8">
        <v>46049</v>
      </c>
      <c r="E1311" s="8">
        <v>46052</v>
      </c>
      <c r="F1311" s="8">
        <v>46104</v>
      </c>
      <c r="G1311" s="8">
        <f t="shared" si="3"/>
        <v>46119</v>
      </c>
      <c r="H1311" s="17" t="s">
        <v>1392</v>
      </c>
      <c r="I1311">
        <f>_xlfn.XLOOKUP(H1311,Hoja1!H:H,Hoja1!G:G)</f>
        <v>2397</v>
      </c>
      <c r="J1311">
        <f>VLOOKUP(B1311,Hoja2!P:Q,2,0)</f>
        <v>9</v>
      </c>
      <c r="K1311" t="str">
        <f t="shared" si="0"/>
        <v>update formulario set id_categoria_formulario = 9 where id =2397;</v>
      </c>
    </row>
    <row r="1312" spans="1:11">
      <c r="A1312" t="s">
        <v>10</v>
      </c>
      <c r="B1312" t="s">
        <v>1386</v>
      </c>
      <c r="C1312" t="s">
        <v>1387</v>
      </c>
      <c r="D1312" s="8">
        <v>46049</v>
      </c>
      <c r="E1312" s="8">
        <v>46052</v>
      </c>
      <c r="F1312" s="8">
        <v>46104</v>
      </c>
      <c r="G1312" s="8">
        <f t="shared" si="3"/>
        <v>46119</v>
      </c>
      <c r="H1312" s="17" t="s">
        <v>1393</v>
      </c>
      <c r="I1312">
        <f>_xlfn.XLOOKUP(H1312,Hoja1!H:H,Hoja1!G:G)</f>
        <v>2398</v>
      </c>
      <c r="J1312">
        <f>VLOOKUP(B1312,Hoja2!P:Q,2,0)</f>
        <v>9</v>
      </c>
      <c r="K1312" t="str">
        <f t="shared" si="0"/>
        <v>update formulario set id_categoria_formulario = 9 where id =2398;</v>
      </c>
    </row>
    <row r="1313" spans="1:11">
      <c r="A1313" t="s">
        <v>10</v>
      </c>
      <c r="B1313" t="s">
        <v>1386</v>
      </c>
      <c r="C1313" t="s">
        <v>1395</v>
      </c>
      <c r="D1313" s="8">
        <v>46042</v>
      </c>
      <c r="E1313" s="8">
        <v>46059</v>
      </c>
      <c r="F1313" s="8">
        <v>46063</v>
      </c>
      <c r="G1313" s="8">
        <f t="shared" si="3"/>
        <v>46078</v>
      </c>
      <c r="H1313" s="17" t="s">
        <v>1397</v>
      </c>
      <c r="I1313">
        <f>_xlfn.XLOOKUP(H1313,Hoja1!H:H,Hoja1!G:G)</f>
        <v>2401</v>
      </c>
      <c r="J1313">
        <f>VLOOKUP(B1313,Hoja2!P:Q,2,0)</f>
        <v>9</v>
      </c>
      <c r="K1313" t="str">
        <f t="shared" si="0"/>
        <v>update formulario set id_categoria_formulario = 9 where id =2401;</v>
      </c>
    </row>
    <row r="1314" spans="1:11">
      <c r="A1314" t="s">
        <v>10</v>
      </c>
      <c r="B1314" t="s">
        <v>1386</v>
      </c>
      <c r="C1314" t="s">
        <v>1395</v>
      </c>
      <c r="D1314" s="8">
        <v>46042</v>
      </c>
      <c r="E1314" s="8">
        <v>46059</v>
      </c>
      <c r="F1314" s="8">
        <v>46063</v>
      </c>
      <c r="G1314" s="8">
        <f t="shared" ref="G1314" si="4">WORKDAY.INTL(F1314,10,1,0)+1</f>
        <v>46078</v>
      </c>
      <c r="H1314" s="17" t="s">
        <v>1398</v>
      </c>
      <c r="I1314">
        <f>_xlfn.XLOOKUP(H1314,Hoja1!H:H,Hoja1!G:G)</f>
        <v>2402</v>
      </c>
      <c r="J1314">
        <f>VLOOKUP(B1314,Hoja2!P:Q,2,0)</f>
        <v>9</v>
      </c>
      <c r="K1314" t="str">
        <f t="shared" si="0"/>
        <v>update formulario set id_categoria_formulario = 9 where id =2402;</v>
      </c>
    </row>
    <row r="1315" spans="1:11" ht="17.25">
      <c r="A1315" s="2" t="s">
        <v>1587</v>
      </c>
      <c r="B1315" t="s">
        <v>1394</v>
      </c>
      <c r="C1315" t="s">
        <v>1396</v>
      </c>
      <c r="D1315" s="8">
        <v>46042</v>
      </c>
      <c r="E1315" s="8">
        <v>46059</v>
      </c>
      <c r="F1315" s="8">
        <v>46063</v>
      </c>
      <c r="G1315" s="8">
        <f t="shared" ref="G1315:G1329" si="5">WORKDAY.INTL(F1315,10,1,0)+1</f>
        <v>46078</v>
      </c>
      <c r="H1315" s="32" t="s">
        <v>1590</v>
      </c>
      <c r="I1315">
        <f>_xlfn.XLOOKUP(H1315,Hoja1!H:H,Hoja1!G:G)</f>
        <v>2399</v>
      </c>
      <c r="J1315">
        <f>VLOOKUP(B1315,Hoja2!P:Q,2,0)</f>
        <v>10</v>
      </c>
      <c r="K1315" t="str">
        <f t="shared" si="0"/>
        <v>update formulario set id_categoria_formulario = 10 where id =2399;</v>
      </c>
    </row>
    <row r="1316" spans="1:11" ht="17.25">
      <c r="A1316" s="2" t="s">
        <v>1587</v>
      </c>
      <c r="B1316" t="s">
        <v>1394</v>
      </c>
      <c r="C1316" t="s">
        <v>1396</v>
      </c>
      <c r="D1316" s="8">
        <v>46042</v>
      </c>
      <c r="E1316" s="8">
        <v>46059</v>
      </c>
      <c r="F1316" s="8">
        <v>46063</v>
      </c>
      <c r="G1316" s="8">
        <f t="shared" si="5"/>
        <v>46078</v>
      </c>
      <c r="H1316" s="32" t="s">
        <v>1591</v>
      </c>
      <c r="I1316">
        <f>_xlfn.XLOOKUP(H1316,Hoja1!H:H,Hoja1!G:G)</f>
        <v>2400</v>
      </c>
      <c r="J1316">
        <f>VLOOKUP(B1316,Hoja2!P:Q,2,0)</f>
        <v>10</v>
      </c>
      <c r="K1316" t="str">
        <f t="shared" si="0"/>
        <v>update formulario set id_categoria_formulario = 10 where id =2400;</v>
      </c>
    </row>
    <row r="1317" spans="1:11">
      <c r="A1317" t="s">
        <v>1586</v>
      </c>
      <c r="B1317" t="s">
        <v>1366</v>
      </c>
      <c r="C1317" t="s">
        <v>1033</v>
      </c>
      <c r="D1317" s="8">
        <v>46027</v>
      </c>
      <c r="F1317" s="8">
        <v>46096</v>
      </c>
      <c r="G1317" s="8">
        <f t="shared" si="5"/>
        <v>46109</v>
      </c>
      <c r="H1317" s="17" t="s">
        <v>1399</v>
      </c>
      <c r="I1317">
        <f>_xlfn.XLOOKUP(H1317,Hoja1!H:H,Hoja1!G:G)</f>
        <v>2403</v>
      </c>
      <c r="J1317">
        <f>VLOOKUP(B1317,Hoja2!P:Q,2,0)</f>
        <v>3</v>
      </c>
      <c r="K1317" t="str">
        <f t="shared" si="0"/>
        <v>update formulario set id_categoria_formulario = 3 where id =2403;</v>
      </c>
    </row>
    <row r="1318" spans="1:11">
      <c r="A1318" s="2" t="s">
        <v>1588</v>
      </c>
      <c r="B1318" t="s">
        <v>1369</v>
      </c>
      <c r="C1318" t="s">
        <v>1375</v>
      </c>
      <c r="D1318" s="8">
        <v>46048</v>
      </c>
      <c r="F1318" s="8">
        <v>46082</v>
      </c>
      <c r="G1318" s="8">
        <f t="shared" si="5"/>
        <v>46095</v>
      </c>
      <c r="H1318" s="17" t="s">
        <v>1400</v>
      </c>
      <c r="I1318">
        <f>_xlfn.XLOOKUP(H1318,Hoja1!H:H,Hoja1!G:G)</f>
        <v>2405</v>
      </c>
      <c r="J1318">
        <f>VLOOKUP(B1318,Hoja2!P:Q,2,0)</f>
        <v>8</v>
      </c>
      <c r="K1318" t="str">
        <f t="shared" si="0"/>
        <v>update formulario set id_categoria_formulario = 8 where id =2405;</v>
      </c>
    </row>
    <row r="1319" spans="1:11">
      <c r="A1319" s="2" t="s">
        <v>1587</v>
      </c>
      <c r="B1319" t="s">
        <v>1351</v>
      </c>
      <c r="C1319" t="s">
        <v>1401</v>
      </c>
      <c r="D1319" s="8">
        <v>46051</v>
      </c>
      <c r="E1319" s="8">
        <v>46056</v>
      </c>
      <c r="F1319" s="8">
        <v>46076</v>
      </c>
      <c r="G1319" s="8">
        <f t="shared" si="5"/>
        <v>46091</v>
      </c>
      <c r="H1319" s="17" t="s">
        <v>1402</v>
      </c>
      <c r="I1319">
        <f>_xlfn.XLOOKUP(H1319,Hoja1!H:H,Hoja1!G:G)</f>
        <v>2415</v>
      </c>
      <c r="J1319">
        <f>VLOOKUP(B1319,Hoja2!P:Q,2,0)</f>
        <v>6</v>
      </c>
      <c r="K1319" t="str">
        <f t="shared" si="0"/>
        <v>update formulario set id_categoria_formulario = 6 where id =2415;</v>
      </c>
    </row>
    <row r="1320" spans="1:11">
      <c r="A1320" s="2" t="s">
        <v>1587</v>
      </c>
      <c r="B1320" t="s">
        <v>1351</v>
      </c>
      <c r="C1320" t="s">
        <v>1401</v>
      </c>
      <c r="D1320" s="8">
        <v>46051</v>
      </c>
      <c r="E1320" s="8">
        <v>46056</v>
      </c>
      <c r="F1320" s="8">
        <v>46076</v>
      </c>
      <c r="G1320" s="8">
        <f t="shared" si="5"/>
        <v>46091</v>
      </c>
      <c r="H1320" s="17" t="s">
        <v>1403</v>
      </c>
      <c r="I1320">
        <f>_xlfn.XLOOKUP(H1320,Hoja1!H:H,Hoja1!G:G)</f>
        <v>2416</v>
      </c>
      <c r="J1320">
        <f>VLOOKUP(B1320,Hoja2!P:Q,2,0)</f>
        <v>6</v>
      </c>
      <c r="K1320" t="str">
        <f t="shared" si="0"/>
        <v>update formulario set id_categoria_formulario = 6 where id =2416;</v>
      </c>
    </row>
    <row r="1321" spans="1:11">
      <c r="A1321" t="s">
        <v>1586</v>
      </c>
      <c r="B1321" t="s">
        <v>1366</v>
      </c>
      <c r="C1321" t="s">
        <v>1384</v>
      </c>
      <c r="D1321" s="8">
        <v>46049</v>
      </c>
      <c r="F1321" s="8">
        <v>46070</v>
      </c>
      <c r="G1321" s="8">
        <f t="shared" si="5"/>
        <v>46085</v>
      </c>
      <c r="H1321" s="17" t="s">
        <v>1404</v>
      </c>
      <c r="I1321">
        <f>_xlfn.XLOOKUP(H1321,Hoja1!H:H,Hoja1!G:G)</f>
        <v>2435</v>
      </c>
      <c r="J1321">
        <f>VLOOKUP(B1321,Hoja2!P:Q,2,0)</f>
        <v>3</v>
      </c>
      <c r="K1321" t="str">
        <f t="shared" si="0"/>
        <v>update formulario set id_categoria_formulario = 3 where id =2435;</v>
      </c>
    </row>
    <row r="1322" spans="1:11">
      <c r="A1322" t="s">
        <v>1586</v>
      </c>
      <c r="B1322" t="s">
        <v>1366</v>
      </c>
      <c r="C1322" t="s">
        <v>1384</v>
      </c>
      <c r="D1322" s="8">
        <v>46049</v>
      </c>
      <c r="E1322" s="8">
        <v>46054</v>
      </c>
      <c r="F1322" s="8">
        <v>46068</v>
      </c>
      <c r="G1322" s="8">
        <f t="shared" si="5"/>
        <v>46081</v>
      </c>
      <c r="H1322" s="17" t="s">
        <v>1405</v>
      </c>
      <c r="I1322">
        <f>_xlfn.XLOOKUP(H1322,Hoja1!H:H,Hoja1!G:G)</f>
        <v>2436</v>
      </c>
      <c r="J1322">
        <f>VLOOKUP(B1322,Hoja2!P:Q,2,0)</f>
        <v>3</v>
      </c>
      <c r="K1322" t="str">
        <f t="shared" si="0"/>
        <v>update formulario set id_categoria_formulario = 3 where id =2436;</v>
      </c>
    </row>
    <row r="1323" spans="1:11">
      <c r="A1323" t="s">
        <v>1586</v>
      </c>
      <c r="B1323" t="s">
        <v>1366</v>
      </c>
      <c r="C1323" t="s">
        <v>1384</v>
      </c>
      <c r="D1323" s="8">
        <v>46049</v>
      </c>
      <c r="E1323" s="8">
        <v>46054</v>
      </c>
      <c r="F1323" s="8">
        <v>46068</v>
      </c>
      <c r="G1323" s="8">
        <f t="shared" si="5"/>
        <v>46081</v>
      </c>
      <c r="H1323" s="17" t="s">
        <v>1406</v>
      </c>
      <c r="I1323">
        <f>_xlfn.XLOOKUP(H1323,Hoja1!H:H,Hoja1!G:G)</f>
        <v>2437</v>
      </c>
      <c r="J1323">
        <f>VLOOKUP(B1323,Hoja2!P:Q,2,0)</f>
        <v>3</v>
      </c>
      <c r="K1323" t="str">
        <f t="shared" si="0"/>
        <v>update formulario set id_categoria_formulario = 3 where id =2437;</v>
      </c>
    </row>
    <row r="1324" spans="1:11">
      <c r="A1324" s="2" t="s">
        <v>1587</v>
      </c>
      <c r="B1324" t="s">
        <v>1351</v>
      </c>
      <c r="C1324" t="s">
        <v>1407</v>
      </c>
      <c r="D1324" s="8">
        <v>46055</v>
      </c>
      <c r="E1324" s="8">
        <v>46057</v>
      </c>
      <c r="F1324" s="8">
        <v>46076</v>
      </c>
      <c r="G1324" s="8">
        <f t="shared" si="5"/>
        <v>46091</v>
      </c>
      <c r="H1324" s="17" t="s">
        <v>1408</v>
      </c>
      <c r="I1324">
        <f>_xlfn.XLOOKUP(H1324,Hoja1!H:H,Hoja1!G:G)</f>
        <v>2444</v>
      </c>
      <c r="J1324">
        <f>VLOOKUP(B1324,Hoja2!P:Q,2,0)</f>
        <v>6</v>
      </c>
      <c r="K1324" t="str">
        <f t="shared" si="0"/>
        <v>update formulario set id_categoria_formulario = 6 where id =2444;</v>
      </c>
    </row>
    <row r="1325" spans="1:11">
      <c r="A1325" t="s">
        <v>1586</v>
      </c>
      <c r="B1325" t="s">
        <v>1157</v>
      </c>
      <c r="C1325" t="s">
        <v>1409</v>
      </c>
      <c r="D1325" s="8">
        <v>46064</v>
      </c>
      <c r="F1325" s="8">
        <v>46106</v>
      </c>
      <c r="G1325" s="8">
        <f t="shared" si="5"/>
        <v>46121</v>
      </c>
      <c r="H1325" s="17" t="s">
        <v>1410</v>
      </c>
      <c r="I1325">
        <f>_xlfn.XLOOKUP(H1325,Hoja1!H:H,Hoja1!G:G)</f>
        <v>2446</v>
      </c>
      <c r="J1325">
        <f>VLOOKUP(B1325,Hoja2!P:Q,2,0)</f>
        <v>5</v>
      </c>
      <c r="K1325" t="str">
        <f t="shared" si="0"/>
        <v>update formulario set id_categoria_formulario = 5 where id =2446;</v>
      </c>
    </row>
    <row r="1326" spans="1:11">
      <c r="A1326" s="2" t="s">
        <v>1587</v>
      </c>
      <c r="B1326" t="s">
        <v>1351</v>
      </c>
      <c r="C1326" t="s">
        <v>1413</v>
      </c>
      <c r="D1326" s="8">
        <v>46064</v>
      </c>
      <c r="F1326" s="8">
        <v>46106</v>
      </c>
      <c r="G1326" s="8">
        <f t="shared" si="5"/>
        <v>46121</v>
      </c>
      <c r="H1326" s="17" t="s">
        <v>1411</v>
      </c>
      <c r="I1326">
        <f>_xlfn.XLOOKUP(H1326,Hoja1!H:H,Hoja1!G:G)</f>
        <v>2447</v>
      </c>
      <c r="J1326">
        <f>VLOOKUP(B1326,Hoja2!P:Q,2,0)</f>
        <v>6</v>
      </c>
      <c r="K1326" t="str">
        <f t="shared" si="0"/>
        <v>update formulario set id_categoria_formulario = 6 where id =2447;</v>
      </c>
    </row>
    <row r="1327" spans="1:11">
      <c r="A1327" s="2" t="s">
        <v>1587</v>
      </c>
      <c r="B1327" t="s">
        <v>1351</v>
      </c>
      <c r="C1327" t="s">
        <v>1413</v>
      </c>
      <c r="D1327" s="8">
        <v>46064</v>
      </c>
      <c r="F1327" s="8">
        <v>46106</v>
      </c>
      <c r="G1327" s="8">
        <f t="shared" si="5"/>
        <v>46121</v>
      </c>
      <c r="H1327" s="17" t="s">
        <v>1412</v>
      </c>
      <c r="I1327">
        <f>_xlfn.XLOOKUP(H1327,Hoja1!H:H,Hoja1!G:G)</f>
        <v>2448</v>
      </c>
      <c r="J1327">
        <f>VLOOKUP(B1327,Hoja2!P:Q,2,0)</f>
        <v>6</v>
      </c>
      <c r="K1327" t="str">
        <f t="shared" si="0"/>
        <v>update formulario set id_categoria_formulario = 6 where id =2448;</v>
      </c>
    </row>
    <row r="1328" spans="1:11">
      <c r="A1328" s="2" t="s">
        <v>1587</v>
      </c>
      <c r="B1328" t="s">
        <v>1351</v>
      </c>
      <c r="C1328" t="s">
        <v>1414</v>
      </c>
      <c r="D1328" s="8">
        <v>46064</v>
      </c>
      <c r="E1328" s="8">
        <v>46065</v>
      </c>
      <c r="F1328" s="8">
        <v>46126</v>
      </c>
      <c r="G1328" s="8">
        <f t="shared" si="5"/>
        <v>46141</v>
      </c>
      <c r="H1328" s="17" t="s">
        <v>1415</v>
      </c>
      <c r="I1328">
        <f>_xlfn.XLOOKUP(H1328,Hoja1!H:H,Hoja1!G:G)</f>
        <v>2458</v>
      </c>
      <c r="J1328">
        <f>VLOOKUP(B1328,Hoja2!P:Q,2,0)</f>
        <v>6</v>
      </c>
      <c r="K1328" t="str">
        <f t="shared" si="0"/>
        <v>update formulario set id_categoria_formulario = 6 where id =2458;</v>
      </c>
    </row>
    <row r="1329" spans="1:11">
      <c r="A1329" s="18" t="s">
        <v>10</v>
      </c>
      <c r="B1329" t="s">
        <v>1357</v>
      </c>
      <c r="C1329" t="s">
        <v>1416</v>
      </c>
      <c r="D1329" s="8">
        <v>46064</v>
      </c>
      <c r="F1329" s="8">
        <v>46106</v>
      </c>
      <c r="G1329" s="8">
        <f t="shared" si="5"/>
        <v>46121</v>
      </c>
      <c r="H1329" s="17" t="s">
        <v>1417</v>
      </c>
      <c r="I1329">
        <f>_xlfn.XLOOKUP(H1329,Hoja1!H:H,Hoja1!G:G)</f>
        <v>2462</v>
      </c>
      <c r="J1329">
        <f>VLOOKUP(B1329,Hoja2!P:Q,2,0)</f>
        <v>7</v>
      </c>
      <c r="K1329" t="str">
        <f t="shared" si="0"/>
        <v>update formulario set id_categoria_formulario = 7 where id =2462;</v>
      </c>
    </row>
    <row r="1330" spans="1:11">
      <c r="A1330" s="18" t="s">
        <v>10</v>
      </c>
      <c r="B1330" t="s">
        <v>1357</v>
      </c>
      <c r="C1330" t="s">
        <v>1416</v>
      </c>
      <c r="D1330" s="8">
        <v>46064</v>
      </c>
      <c r="F1330" s="8">
        <v>46106</v>
      </c>
      <c r="G1330" s="8">
        <f t="shared" ref="G1330:G1339" si="6">WORKDAY.INTL(F1330,10,1,0)+1</f>
        <v>46121</v>
      </c>
      <c r="H1330" s="17" t="s">
        <v>1418</v>
      </c>
      <c r="I1330">
        <f>_xlfn.XLOOKUP(H1330,Hoja1!H:H,Hoja1!G:G)</f>
        <v>2463</v>
      </c>
      <c r="J1330">
        <f>VLOOKUP(B1330,Hoja2!P:Q,2,0)</f>
        <v>7</v>
      </c>
      <c r="K1330" t="str">
        <f t="shared" si="0"/>
        <v>update formulario set id_categoria_formulario = 7 where id =2463;</v>
      </c>
    </row>
    <row r="1331" spans="1:11" ht="17.25">
      <c r="A1331" s="18" t="s">
        <v>10</v>
      </c>
      <c r="B1331" t="s">
        <v>1357</v>
      </c>
      <c r="C1331" t="s">
        <v>1416</v>
      </c>
      <c r="D1331" s="8">
        <v>46064</v>
      </c>
      <c r="F1331" s="8">
        <v>46106</v>
      </c>
      <c r="G1331" s="8">
        <f t="shared" si="6"/>
        <v>46121</v>
      </c>
      <c r="H1331" s="32" t="s">
        <v>1570</v>
      </c>
      <c r="I1331">
        <f>_xlfn.XLOOKUP(H1331,Hoja1!H:H,Hoja1!G:G)</f>
        <v>2464</v>
      </c>
      <c r="J1331">
        <f>VLOOKUP(B1331,Hoja2!P:Q,2,0)</f>
        <v>7</v>
      </c>
      <c r="K1331" t="str">
        <f t="shared" si="0"/>
        <v>update formulario set id_categoria_formulario = 7 where id =2464;</v>
      </c>
    </row>
    <row r="1332" spans="1:11" ht="17.25">
      <c r="A1332" s="18" t="s">
        <v>10</v>
      </c>
      <c r="B1332" t="s">
        <v>1357</v>
      </c>
      <c r="C1332" t="s">
        <v>1416</v>
      </c>
      <c r="D1332" s="8">
        <v>46064</v>
      </c>
      <c r="F1332" s="8">
        <v>46106</v>
      </c>
      <c r="G1332" s="8">
        <f t="shared" si="6"/>
        <v>46121</v>
      </c>
      <c r="H1332" s="32" t="s">
        <v>1571</v>
      </c>
      <c r="I1332">
        <f>_xlfn.XLOOKUP(H1332,Hoja1!H:H,Hoja1!G:G)</f>
        <v>2465</v>
      </c>
      <c r="J1332">
        <f>VLOOKUP(B1332,Hoja2!P:Q,2,0)</f>
        <v>7</v>
      </c>
      <c r="K1332" t="str">
        <f t="shared" si="0"/>
        <v>update formulario set id_categoria_formulario = 7 where id =2465;</v>
      </c>
    </row>
    <row r="1333" spans="1:11">
      <c r="A1333" s="18" t="s">
        <v>10</v>
      </c>
      <c r="B1333" t="s">
        <v>1357</v>
      </c>
      <c r="C1333" t="s">
        <v>1416</v>
      </c>
      <c r="D1333" s="8">
        <v>46064</v>
      </c>
      <c r="F1333" s="8">
        <v>46089</v>
      </c>
      <c r="G1333" s="8">
        <f t="shared" si="6"/>
        <v>46102</v>
      </c>
      <c r="H1333" s="17" t="s">
        <v>1419</v>
      </c>
      <c r="I1333">
        <f>_xlfn.XLOOKUP(H1333,Hoja1!H:H,Hoja1!G:G)</f>
        <v>2466</v>
      </c>
      <c r="J1333">
        <f>VLOOKUP(B1333,Hoja2!P:Q,2,0)</f>
        <v>7</v>
      </c>
      <c r="K1333" t="str">
        <f t="shared" si="0"/>
        <v>update formulario set id_categoria_formulario = 7 where id =2466;</v>
      </c>
    </row>
    <row r="1334" spans="1:11">
      <c r="A1334" s="18" t="s">
        <v>10</v>
      </c>
      <c r="B1334" t="s">
        <v>1357</v>
      </c>
      <c r="C1334" t="s">
        <v>1416</v>
      </c>
      <c r="D1334" s="8">
        <v>46064</v>
      </c>
      <c r="F1334" s="8">
        <v>46089</v>
      </c>
      <c r="G1334" s="8">
        <f t="shared" si="6"/>
        <v>46102</v>
      </c>
      <c r="H1334" s="17" t="s">
        <v>1420</v>
      </c>
      <c r="I1334">
        <f>_xlfn.XLOOKUP(H1334,Hoja1!H:H,Hoja1!G:G)</f>
        <v>2467</v>
      </c>
      <c r="J1334">
        <f>VLOOKUP(B1334,Hoja2!P:Q,2,0)</f>
        <v>7</v>
      </c>
      <c r="K1334" t="str">
        <f t="shared" si="0"/>
        <v>update formulario set id_categoria_formulario = 7 where id =2467;</v>
      </c>
    </row>
    <row r="1335" spans="1:11">
      <c r="A1335" s="2" t="s">
        <v>1587</v>
      </c>
      <c r="B1335" t="s">
        <v>1157</v>
      </c>
      <c r="C1335" t="s">
        <v>1421</v>
      </c>
      <c r="D1335" s="8">
        <v>46069</v>
      </c>
      <c r="F1335" s="8">
        <v>46096</v>
      </c>
      <c r="G1335" s="8">
        <f t="shared" si="6"/>
        <v>46109</v>
      </c>
      <c r="H1335" s="17" t="s">
        <v>1422</v>
      </c>
      <c r="I1335">
        <f>_xlfn.XLOOKUP(H1335,Hoja1!H:H,Hoja1!G:G)</f>
        <v>2468</v>
      </c>
      <c r="J1335">
        <f>VLOOKUP(B1335,Hoja2!P:Q,2,0)</f>
        <v>5</v>
      </c>
      <c r="K1335" t="str">
        <f t="shared" si="0"/>
        <v>update formulario set id_categoria_formulario = 5 where id =2468;</v>
      </c>
    </row>
    <row r="1336" spans="1:11">
      <c r="A1336" s="2" t="s">
        <v>1587</v>
      </c>
      <c r="B1336" t="s">
        <v>1157</v>
      </c>
      <c r="C1336" t="s">
        <v>1421</v>
      </c>
      <c r="D1336" s="8">
        <v>46069</v>
      </c>
      <c r="F1336" s="8">
        <v>46096</v>
      </c>
      <c r="G1336" s="8">
        <f t="shared" si="6"/>
        <v>46109</v>
      </c>
      <c r="H1336" s="17" t="s">
        <v>1423</v>
      </c>
      <c r="I1336">
        <f>_xlfn.XLOOKUP(H1336,Hoja1!H:H,Hoja1!G:G)</f>
        <v>2470</v>
      </c>
      <c r="J1336">
        <f>VLOOKUP(B1336,Hoja2!P:Q,2,0)</f>
        <v>5</v>
      </c>
      <c r="K1336" t="str">
        <f t="shared" si="0"/>
        <v>update formulario set id_categoria_formulario = 5 where id =2470;</v>
      </c>
    </row>
    <row r="1337" spans="1:11">
      <c r="A1337" s="18" t="s">
        <v>1586</v>
      </c>
      <c r="B1337" t="s">
        <v>1366</v>
      </c>
      <c r="C1337" t="s">
        <v>1424</v>
      </c>
      <c r="D1337" s="8">
        <v>46064</v>
      </c>
      <c r="E1337" s="23">
        <v>46066</v>
      </c>
      <c r="F1337" s="8">
        <v>46106</v>
      </c>
      <c r="G1337" s="8">
        <f t="shared" si="6"/>
        <v>46121</v>
      </c>
      <c r="H1337" s="17" t="s">
        <v>1425</v>
      </c>
      <c r="I1337">
        <f>_xlfn.XLOOKUP(H1337,Hoja1!H:H,Hoja1!G:G)</f>
        <v>2474</v>
      </c>
      <c r="J1337">
        <f>VLOOKUP(B1337,Hoja2!P:Q,2,0)</f>
        <v>3</v>
      </c>
      <c r="K1337" t="str">
        <f t="shared" si="0"/>
        <v>update formulario set id_categoria_formulario = 3 where id =2474;</v>
      </c>
    </row>
    <row r="1338" spans="1:11">
      <c r="A1338" s="18" t="s">
        <v>1586</v>
      </c>
      <c r="B1338" t="s">
        <v>1366</v>
      </c>
      <c r="C1338" t="s">
        <v>1426</v>
      </c>
      <c r="D1338" s="8">
        <v>46064</v>
      </c>
      <c r="F1338" s="8">
        <v>46106</v>
      </c>
      <c r="G1338" s="8">
        <f t="shared" si="6"/>
        <v>46121</v>
      </c>
      <c r="H1338" s="17" t="s">
        <v>1427</v>
      </c>
      <c r="I1338">
        <f>_xlfn.XLOOKUP(H1338,Hoja1!H:H,Hoja1!G:G)</f>
        <v>2478</v>
      </c>
      <c r="J1338">
        <f>VLOOKUP(B1338,Hoja2!P:Q,2,0)</f>
        <v>3</v>
      </c>
      <c r="K1338" t="str">
        <f t="shared" si="0"/>
        <v>update formulario set id_categoria_formulario = 3 where id =2478;</v>
      </c>
    </row>
    <row r="1339" spans="1:11">
      <c r="A1339" s="18" t="s">
        <v>1586</v>
      </c>
      <c r="B1339" t="s">
        <v>1366</v>
      </c>
      <c r="C1339" t="s">
        <v>1428</v>
      </c>
      <c r="D1339" s="8">
        <v>46069</v>
      </c>
      <c r="F1339" s="8">
        <v>46117</v>
      </c>
      <c r="G1339" s="8">
        <f t="shared" si="6"/>
        <v>46130</v>
      </c>
      <c r="H1339" s="17" t="s">
        <v>1429</v>
      </c>
      <c r="I1339">
        <f>_xlfn.XLOOKUP(H1339,Hoja1!H:H,Hoja1!G:G)</f>
        <v>2479</v>
      </c>
      <c r="J1339">
        <f>VLOOKUP(B1339,Hoja2!P:Q,2,0)</f>
        <v>3</v>
      </c>
      <c r="K1339" t="str">
        <f t="shared" si="0"/>
        <v>update formulario set id_categoria_formulario = 3 where id =2479;</v>
      </c>
    </row>
    <row r="1340" spans="1:11">
      <c r="A1340" s="18" t="s">
        <v>1586</v>
      </c>
      <c r="B1340" t="s">
        <v>1366</v>
      </c>
      <c r="C1340" t="s">
        <v>1428</v>
      </c>
      <c r="D1340" s="8">
        <v>46069</v>
      </c>
      <c r="F1340" s="8">
        <v>46117</v>
      </c>
      <c r="G1340" s="8">
        <f t="shared" ref="G1340:G1352" si="7">WORKDAY.INTL(F1340,10,1,0)+1</f>
        <v>46130</v>
      </c>
      <c r="H1340" s="17" t="s">
        <v>1430</v>
      </c>
      <c r="I1340">
        <f>_xlfn.XLOOKUP(H1340,Hoja1!H:H,Hoja1!G:G)</f>
        <v>2480</v>
      </c>
      <c r="J1340">
        <f>VLOOKUP(B1340,Hoja2!P:Q,2,0)</f>
        <v>3</v>
      </c>
      <c r="K1340" t="str">
        <f t="shared" ref="K1340:K1403" si="8">"update formulario set id_categoria_formulario = "&amp;J1340&amp;" where id ="&amp;I1340&amp;";"</f>
        <v>update formulario set id_categoria_formulario = 3 where id =2480;</v>
      </c>
    </row>
    <row r="1341" spans="1:11">
      <c r="A1341" s="18" t="s">
        <v>1586</v>
      </c>
      <c r="B1341" t="s">
        <v>1366</v>
      </c>
      <c r="C1341" t="s">
        <v>1428</v>
      </c>
      <c r="D1341" s="8">
        <v>46069</v>
      </c>
      <c r="F1341" s="8">
        <v>46117</v>
      </c>
      <c r="G1341" s="8">
        <f t="shared" si="7"/>
        <v>46130</v>
      </c>
      <c r="H1341" s="17" t="s">
        <v>1431</v>
      </c>
      <c r="I1341">
        <f>_xlfn.XLOOKUP(H1341,Hoja1!H:H,Hoja1!G:G)</f>
        <v>2481</v>
      </c>
      <c r="J1341">
        <f>VLOOKUP(B1341,Hoja2!P:Q,2,0)</f>
        <v>3</v>
      </c>
      <c r="K1341" t="str">
        <f t="shared" si="8"/>
        <v>update formulario set id_categoria_formulario = 3 where id =2481;</v>
      </c>
    </row>
    <row r="1342" spans="1:11">
      <c r="A1342" s="18" t="s">
        <v>1586</v>
      </c>
      <c r="B1342" t="s">
        <v>1366</v>
      </c>
      <c r="C1342" t="s">
        <v>1428</v>
      </c>
      <c r="D1342" s="8">
        <v>46069</v>
      </c>
      <c r="F1342" s="8">
        <v>46117</v>
      </c>
      <c r="G1342" s="8">
        <f t="shared" si="7"/>
        <v>46130</v>
      </c>
      <c r="H1342" s="17" t="s">
        <v>1432</v>
      </c>
      <c r="I1342">
        <f>_xlfn.XLOOKUP(H1342,Hoja1!H:H,Hoja1!G:G)</f>
        <v>2482</v>
      </c>
      <c r="J1342">
        <f>VLOOKUP(B1342,Hoja2!P:Q,2,0)</f>
        <v>3</v>
      </c>
      <c r="K1342" t="str">
        <f t="shared" si="8"/>
        <v>update formulario set id_categoria_formulario = 3 where id =2482;</v>
      </c>
    </row>
    <row r="1343" spans="1:11">
      <c r="A1343" s="18" t="s">
        <v>1586</v>
      </c>
      <c r="B1343" t="s">
        <v>1366</v>
      </c>
      <c r="C1343" t="s">
        <v>1428</v>
      </c>
      <c r="D1343" s="8">
        <v>46069</v>
      </c>
      <c r="F1343" s="8">
        <v>46117</v>
      </c>
      <c r="G1343" s="8">
        <f t="shared" si="7"/>
        <v>46130</v>
      </c>
      <c r="H1343" s="17" t="s">
        <v>1433</v>
      </c>
      <c r="I1343">
        <f>_xlfn.XLOOKUP(H1343,Hoja1!H:H,Hoja1!G:G)</f>
        <v>2483</v>
      </c>
      <c r="J1343">
        <f>VLOOKUP(B1343,Hoja2!P:Q,2,0)</f>
        <v>3</v>
      </c>
      <c r="K1343" t="str">
        <f t="shared" si="8"/>
        <v>update formulario set id_categoria_formulario = 3 where id =2483;</v>
      </c>
    </row>
    <row r="1344" spans="1:11">
      <c r="A1344" s="18" t="s">
        <v>1586</v>
      </c>
      <c r="B1344" t="s">
        <v>1366</v>
      </c>
      <c r="C1344" t="s">
        <v>1428</v>
      </c>
      <c r="D1344" s="8">
        <v>46069</v>
      </c>
      <c r="F1344" s="8">
        <v>46117</v>
      </c>
      <c r="G1344" s="8">
        <f t="shared" si="7"/>
        <v>46130</v>
      </c>
      <c r="H1344" s="17" t="s">
        <v>1434</v>
      </c>
      <c r="I1344">
        <f>_xlfn.XLOOKUP(H1344,Hoja1!H:H,Hoja1!G:G)</f>
        <v>2484</v>
      </c>
      <c r="J1344">
        <f>VLOOKUP(B1344,Hoja2!P:Q,2,0)</f>
        <v>3</v>
      </c>
      <c r="K1344" t="str">
        <f t="shared" si="8"/>
        <v>update formulario set id_categoria_formulario = 3 where id =2484;</v>
      </c>
    </row>
    <row r="1345" spans="1:11">
      <c r="A1345" s="18" t="s">
        <v>1586</v>
      </c>
      <c r="B1345" t="s">
        <v>1366</v>
      </c>
      <c r="C1345" t="s">
        <v>1428</v>
      </c>
      <c r="D1345" s="8">
        <v>46069</v>
      </c>
      <c r="F1345" s="8">
        <v>46117</v>
      </c>
      <c r="G1345" s="8">
        <f t="shared" si="7"/>
        <v>46130</v>
      </c>
      <c r="H1345" s="17" t="s">
        <v>1435</v>
      </c>
      <c r="I1345">
        <f>_xlfn.XLOOKUP(H1345,Hoja1!H:H,Hoja1!G:G)</f>
        <v>2485</v>
      </c>
      <c r="J1345">
        <f>VLOOKUP(B1345,Hoja2!P:Q,2,0)</f>
        <v>3</v>
      </c>
      <c r="K1345" t="str">
        <f t="shared" si="8"/>
        <v>update formulario set id_categoria_formulario = 3 where id =2485;</v>
      </c>
    </row>
    <row r="1346" spans="1:11">
      <c r="A1346" s="18" t="s">
        <v>1586</v>
      </c>
      <c r="B1346" t="s">
        <v>1366</v>
      </c>
      <c r="C1346" t="s">
        <v>1428</v>
      </c>
      <c r="D1346" s="8">
        <v>46069</v>
      </c>
      <c r="F1346" s="8">
        <v>46117</v>
      </c>
      <c r="G1346" s="8">
        <f t="shared" si="7"/>
        <v>46130</v>
      </c>
      <c r="H1346" s="17" t="s">
        <v>1436</v>
      </c>
      <c r="I1346">
        <f>_xlfn.XLOOKUP(H1346,Hoja1!H:H,Hoja1!G:G)</f>
        <v>2486</v>
      </c>
      <c r="J1346">
        <f>VLOOKUP(B1346,Hoja2!P:Q,2,0)</f>
        <v>3</v>
      </c>
      <c r="K1346" t="str">
        <f t="shared" si="8"/>
        <v>update formulario set id_categoria_formulario = 3 where id =2486;</v>
      </c>
    </row>
    <row r="1347" spans="1:11">
      <c r="A1347" s="18" t="s">
        <v>1586</v>
      </c>
      <c r="B1347" t="s">
        <v>1366</v>
      </c>
      <c r="C1347" t="s">
        <v>1428</v>
      </c>
      <c r="D1347" s="8">
        <v>46069</v>
      </c>
      <c r="F1347" s="8">
        <v>46117</v>
      </c>
      <c r="G1347" s="8">
        <f t="shared" si="7"/>
        <v>46130</v>
      </c>
      <c r="H1347" s="17" t="s">
        <v>1437</v>
      </c>
      <c r="I1347">
        <f>_xlfn.XLOOKUP(H1347,Hoja1!H:H,Hoja1!G:G)</f>
        <v>2487</v>
      </c>
      <c r="J1347">
        <f>VLOOKUP(B1347,Hoja2!P:Q,2,0)</f>
        <v>3</v>
      </c>
      <c r="K1347" t="str">
        <f t="shared" si="8"/>
        <v>update formulario set id_categoria_formulario = 3 where id =2487;</v>
      </c>
    </row>
    <row r="1348" spans="1:11">
      <c r="A1348" s="18" t="s">
        <v>1586</v>
      </c>
      <c r="B1348" t="s">
        <v>1366</v>
      </c>
      <c r="C1348" t="s">
        <v>1428</v>
      </c>
      <c r="D1348" s="8">
        <v>46069</v>
      </c>
      <c r="F1348" s="8">
        <v>46117</v>
      </c>
      <c r="G1348" s="8">
        <f t="shared" si="7"/>
        <v>46130</v>
      </c>
      <c r="H1348" s="17" t="s">
        <v>1438</v>
      </c>
      <c r="I1348">
        <f>_xlfn.XLOOKUP(H1348,Hoja1!H:H,Hoja1!G:G)</f>
        <v>2488</v>
      </c>
      <c r="J1348">
        <f>VLOOKUP(B1348,Hoja2!P:Q,2,0)</f>
        <v>3</v>
      </c>
      <c r="K1348" t="str">
        <f t="shared" si="8"/>
        <v>update formulario set id_categoria_formulario = 3 where id =2488;</v>
      </c>
    </row>
    <row r="1349" spans="1:11">
      <c r="A1349" s="18" t="s">
        <v>1586</v>
      </c>
      <c r="B1349" t="s">
        <v>1366</v>
      </c>
      <c r="C1349" t="s">
        <v>1428</v>
      </c>
      <c r="D1349" s="8">
        <v>46069</v>
      </c>
      <c r="F1349" s="8">
        <v>46117</v>
      </c>
      <c r="G1349" s="8">
        <f t="shared" si="7"/>
        <v>46130</v>
      </c>
      <c r="H1349" s="17" t="s">
        <v>1439</v>
      </c>
      <c r="I1349">
        <f>_xlfn.XLOOKUP(H1349,Hoja1!H:H,Hoja1!G:G)</f>
        <v>2489</v>
      </c>
      <c r="J1349">
        <f>VLOOKUP(B1349,Hoja2!P:Q,2,0)</f>
        <v>3</v>
      </c>
      <c r="K1349" t="str">
        <f t="shared" si="8"/>
        <v>update formulario set id_categoria_formulario = 3 where id =2489;</v>
      </c>
    </row>
    <row r="1350" spans="1:11">
      <c r="A1350" s="18" t="s">
        <v>1586</v>
      </c>
      <c r="B1350" t="s">
        <v>1366</v>
      </c>
      <c r="C1350" t="s">
        <v>1440</v>
      </c>
      <c r="D1350" s="8">
        <v>46064</v>
      </c>
      <c r="F1350" s="8">
        <v>46134</v>
      </c>
      <c r="G1350" s="8">
        <f t="shared" si="7"/>
        <v>46149</v>
      </c>
      <c r="H1350" s="17" t="s">
        <v>1441</v>
      </c>
      <c r="I1350">
        <f>_xlfn.XLOOKUP(H1350,Hoja1!H:H,Hoja1!G:G)</f>
        <v>2491</v>
      </c>
      <c r="J1350">
        <f>VLOOKUP(B1350,Hoja2!P:Q,2,0)</f>
        <v>3</v>
      </c>
      <c r="K1350" t="str">
        <f t="shared" si="8"/>
        <v>update formulario set id_categoria_formulario = 3 where id =2491;</v>
      </c>
    </row>
    <row r="1351" spans="1:11">
      <c r="A1351" s="18" t="s">
        <v>10</v>
      </c>
      <c r="B1351" t="s">
        <v>1357</v>
      </c>
      <c r="C1351" t="s">
        <v>1442</v>
      </c>
      <c r="D1351" s="8">
        <v>46072</v>
      </c>
      <c r="E1351" s="23" t="s">
        <v>1443</v>
      </c>
      <c r="F1351" s="8">
        <v>46104</v>
      </c>
      <c r="G1351" s="8">
        <f t="shared" si="7"/>
        <v>46119</v>
      </c>
      <c r="H1351" s="17" t="s">
        <v>1459</v>
      </c>
      <c r="I1351">
        <f>_xlfn.XLOOKUP(H1351,Hoja1!H:H,Hoja1!G:G)</f>
        <v>2501</v>
      </c>
      <c r="J1351">
        <f>VLOOKUP(B1351,Hoja2!P:Q,2,0)</f>
        <v>7</v>
      </c>
      <c r="K1351" t="str">
        <f t="shared" si="8"/>
        <v>update formulario set id_categoria_formulario = 7 where id =2501;</v>
      </c>
    </row>
    <row r="1352" spans="1:11">
      <c r="A1352" s="18" t="s">
        <v>10</v>
      </c>
      <c r="B1352" t="s">
        <v>1386</v>
      </c>
      <c r="C1352" t="s">
        <v>1387</v>
      </c>
      <c r="D1352" s="8">
        <v>46076</v>
      </c>
      <c r="F1352" s="23">
        <v>46083</v>
      </c>
      <c r="G1352" s="8">
        <f t="shared" si="7"/>
        <v>46098</v>
      </c>
      <c r="H1352" s="17" t="s">
        <v>1444</v>
      </c>
      <c r="I1352">
        <f>_xlfn.XLOOKUP(H1352,Hoja1!H:H,Hoja1!G:G)</f>
        <v>2519</v>
      </c>
      <c r="J1352">
        <f>VLOOKUP(B1352,Hoja2!P:Q,2,0)</f>
        <v>9</v>
      </c>
      <c r="K1352" t="str">
        <f t="shared" si="8"/>
        <v>update formulario set id_categoria_formulario = 9 where id =2519;</v>
      </c>
    </row>
    <row r="1353" spans="1:11">
      <c r="A1353" s="18" t="s">
        <v>10</v>
      </c>
      <c r="B1353" t="s">
        <v>1386</v>
      </c>
      <c r="C1353" t="s">
        <v>1387</v>
      </c>
      <c r="D1353" s="8">
        <v>46076</v>
      </c>
      <c r="F1353" s="23">
        <v>46083</v>
      </c>
      <c r="G1353" s="8">
        <f t="shared" ref="G1353:G1366" si="9">WORKDAY.INTL(F1353,10,1,0)+1</f>
        <v>46098</v>
      </c>
      <c r="H1353" s="17" t="s">
        <v>1445</v>
      </c>
      <c r="I1353">
        <f>_xlfn.XLOOKUP(H1353,Hoja1!H:H,Hoja1!G:G)</f>
        <v>2520</v>
      </c>
      <c r="J1353">
        <f>VLOOKUP(B1353,Hoja2!P:Q,2,0)</f>
        <v>9</v>
      </c>
      <c r="K1353" t="str">
        <f t="shared" si="8"/>
        <v>update formulario set id_categoria_formulario = 9 where id =2520;</v>
      </c>
    </row>
    <row r="1354" spans="1:11">
      <c r="A1354" s="18" t="s">
        <v>1586</v>
      </c>
      <c r="B1354" t="s">
        <v>1366</v>
      </c>
      <c r="C1354" t="s">
        <v>1428</v>
      </c>
      <c r="D1354" s="8">
        <v>46093</v>
      </c>
      <c r="F1354" s="8">
        <v>46117</v>
      </c>
      <c r="G1354" s="8">
        <f t="shared" si="9"/>
        <v>46130</v>
      </c>
      <c r="H1354" s="17" t="s">
        <v>1446</v>
      </c>
      <c r="I1354">
        <f>_xlfn.XLOOKUP(H1354,Hoja1!H:H,Hoja1!G:G)</f>
        <v>2503</v>
      </c>
      <c r="J1354">
        <f>VLOOKUP(B1354,Hoja2!P:Q,2,0)</f>
        <v>3</v>
      </c>
      <c r="K1354" t="str">
        <f t="shared" si="8"/>
        <v>update formulario set id_categoria_formulario = 3 where id =2503;</v>
      </c>
    </row>
    <row r="1355" spans="1:11">
      <c r="A1355" s="18" t="s">
        <v>1586</v>
      </c>
      <c r="B1355" t="s">
        <v>1366</v>
      </c>
      <c r="C1355" t="s">
        <v>1428</v>
      </c>
      <c r="D1355" s="8">
        <v>46093</v>
      </c>
      <c r="F1355" s="8">
        <v>46117</v>
      </c>
      <c r="G1355" s="8">
        <f t="shared" si="9"/>
        <v>46130</v>
      </c>
      <c r="H1355" s="17" t="s">
        <v>1447</v>
      </c>
      <c r="I1355">
        <f>_xlfn.XLOOKUP(H1355,Hoja1!H:H,Hoja1!G:G)</f>
        <v>2502</v>
      </c>
      <c r="J1355">
        <f>VLOOKUP(B1355,Hoja2!P:Q,2,0)</f>
        <v>3</v>
      </c>
      <c r="K1355" t="str">
        <f t="shared" si="8"/>
        <v>update formulario set id_categoria_formulario = 3 where id =2502;</v>
      </c>
    </row>
    <row r="1356" spans="1:11">
      <c r="A1356" s="18" t="s">
        <v>1586</v>
      </c>
      <c r="B1356" t="s">
        <v>1366</v>
      </c>
      <c r="C1356" t="s">
        <v>1428</v>
      </c>
      <c r="D1356" s="8">
        <v>46083</v>
      </c>
      <c r="F1356" s="8">
        <v>46097</v>
      </c>
      <c r="G1356" s="8">
        <f t="shared" si="9"/>
        <v>46112</v>
      </c>
      <c r="H1356" s="17" t="s">
        <v>1448</v>
      </c>
      <c r="I1356">
        <f>_xlfn.XLOOKUP(H1356,Hoja1!H:H,Hoja1!G:G)</f>
        <v>2506</v>
      </c>
      <c r="J1356">
        <f>VLOOKUP(B1356,Hoja2!P:Q,2,0)</f>
        <v>3</v>
      </c>
      <c r="K1356" t="str">
        <f t="shared" si="8"/>
        <v>update formulario set id_categoria_formulario = 3 where id =2506;</v>
      </c>
    </row>
    <row r="1357" spans="1:11">
      <c r="A1357" s="18" t="s">
        <v>1586</v>
      </c>
      <c r="B1357" t="s">
        <v>1366</v>
      </c>
      <c r="C1357" t="s">
        <v>1428</v>
      </c>
      <c r="D1357" s="8">
        <v>46083</v>
      </c>
      <c r="F1357" s="8">
        <v>46097</v>
      </c>
      <c r="G1357" s="8">
        <f t="shared" si="9"/>
        <v>46112</v>
      </c>
      <c r="H1357" s="17" t="s">
        <v>1449</v>
      </c>
      <c r="I1357">
        <f>_xlfn.XLOOKUP(H1357,Hoja1!H:H,Hoja1!G:G)</f>
        <v>2505</v>
      </c>
      <c r="J1357">
        <f>VLOOKUP(B1357,Hoja2!P:Q,2,0)</f>
        <v>3</v>
      </c>
      <c r="K1357" t="str">
        <f t="shared" si="8"/>
        <v>update formulario set id_categoria_formulario = 3 where id =2505;</v>
      </c>
    </row>
    <row r="1358" spans="1:11">
      <c r="A1358" s="18" t="s">
        <v>1586</v>
      </c>
      <c r="B1358" t="s">
        <v>1366</v>
      </c>
      <c r="C1358" t="s">
        <v>1428</v>
      </c>
      <c r="D1358" s="8">
        <v>46083</v>
      </c>
      <c r="F1358" s="8">
        <v>46097</v>
      </c>
      <c r="G1358" s="8">
        <f t="shared" si="9"/>
        <v>46112</v>
      </c>
      <c r="H1358" s="17" t="s">
        <v>1450</v>
      </c>
      <c r="I1358">
        <f>_xlfn.XLOOKUP(H1358,Hoja1!H:H,Hoja1!G:G)</f>
        <v>2504</v>
      </c>
      <c r="J1358">
        <f>VLOOKUP(B1358,Hoja2!P:Q,2,0)</f>
        <v>3</v>
      </c>
      <c r="K1358" t="str">
        <f t="shared" si="8"/>
        <v>update formulario set id_categoria_formulario = 3 where id =2504;</v>
      </c>
    </row>
    <row r="1359" spans="1:11">
      <c r="A1359" s="18" t="s">
        <v>1586</v>
      </c>
      <c r="B1359" t="s">
        <v>1366</v>
      </c>
      <c r="C1359" t="s">
        <v>1428</v>
      </c>
      <c r="D1359" s="8">
        <v>46083</v>
      </c>
      <c r="F1359" s="8">
        <v>46117</v>
      </c>
      <c r="G1359" s="8">
        <f t="shared" si="9"/>
        <v>46130</v>
      </c>
      <c r="H1359" s="17" t="s">
        <v>1451</v>
      </c>
      <c r="I1359">
        <f>_xlfn.XLOOKUP(H1359,Hoja1!H:H,Hoja1!G:G)</f>
        <v>2508</v>
      </c>
      <c r="J1359">
        <f>VLOOKUP(B1359,Hoja2!P:Q,2,0)</f>
        <v>3</v>
      </c>
      <c r="K1359" t="str">
        <f t="shared" si="8"/>
        <v>update formulario set id_categoria_formulario = 3 where id =2508;</v>
      </c>
    </row>
    <row r="1360" spans="1:11">
      <c r="A1360" s="18" t="s">
        <v>1586</v>
      </c>
      <c r="B1360" t="s">
        <v>1366</v>
      </c>
      <c r="C1360" t="s">
        <v>1428</v>
      </c>
      <c r="D1360" s="8">
        <v>46083</v>
      </c>
      <c r="F1360" s="8">
        <v>46117</v>
      </c>
      <c r="G1360" s="8">
        <f t="shared" si="9"/>
        <v>46130</v>
      </c>
      <c r="H1360" s="17" t="s">
        <v>1452</v>
      </c>
      <c r="I1360">
        <f>_xlfn.XLOOKUP(H1360,Hoja1!H:H,Hoja1!G:G)</f>
        <v>2507</v>
      </c>
      <c r="J1360">
        <f>VLOOKUP(B1360,Hoja2!P:Q,2,0)</f>
        <v>3</v>
      </c>
      <c r="K1360" t="str">
        <f t="shared" si="8"/>
        <v>update formulario set id_categoria_formulario = 3 where id =2507;</v>
      </c>
    </row>
    <row r="1361" spans="1:11">
      <c r="A1361" s="18" t="s">
        <v>1586</v>
      </c>
      <c r="B1361" t="s">
        <v>1366</v>
      </c>
      <c r="C1361" t="s">
        <v>1428</v>
      </c>
      <c r="D1361" s="8">
        <v>46084</v>
      </c>
      <c r="F1361" s="8">
        <v>46117</v>
      </c>
      <c r="G1361" s="8">
        <f t="shared" si="9"/>
        <v>46130</v>
      </c>
      <c r="H1361" s="17" t="s">
        <v>1453</v>
      </c>
      <c r="I1361">
        <f>_xlfn.XLOOKUP(H1361,Hoja1!H:H,Hoja1!G:G)</f>
        <v>2509</v>
      </c>
      <c r="J1361">
        <f>VLOOKUP(B1361,Hoja2!P:Q,2,0)</f>
        <v>3</v>
      </c>
      <c r="K1361" t="str">
        <f t="shared" si="8"/>
        <v>update formulario set id_categoria_formulario = 3 where id =2509;</v>
      </c>
    </row>
    <row r="1362" spans="1:11">
      <c r="A1362" s="18" t="s">
        <v>1586</v>
      </c>
      <c r="B1362" t="s">
        <v>1366</v>
      </c>
      <c r="C1362" t="s">
        <v>1428</v>
      </c>
      <c r="D1362" s="8">
        <v>46083</v>
      </c>
      <c r="F1362" s="8">
        <v>46116</v>
      </c>
      <c r="G1362" s="8">
        <f t="shared" si="9"/>
        <v>46130</v>
      </c>
      <c r="H1362" s="17" t="s">
        <v>1454</v>
      </c>
      <c r="I1362">
        <f>_xlfn.XLOOKUP(H1362,Hoja1!H:H,Hoja1!G:G)</f>
        <v>2512</v>
      </c>
      <c r="J1362">
        <f>VLOOKUP(B1362,Hoja2!P:Q,2,0)</f>
        <v>3</v>
      </c>
      <c r="K1362" t="str">
        <f t="shared" si="8"/>
        <v>update formulario set id_categoria_formulario = 3 where id =2512;</v>
      </c>
    </row>
    <row r="1363" spans="1:11">
      <c r="A1363" s="18" t="s">
        <v>1586</v>
      </c>
      <c r="B1363" t="s">
        <v>1366</v>
      </c>
      <c r="C1363" t="s">
        <v>1428</v>
      </c>
      <c r="D1363" s="8">
        <v>46083</v>
      </c>
      <c r="F1363" s="8">
        <v>46116</v>
      </c>
      <c r="G1363" s="8">
        <f t="shared" si="9"/>
        <v>46130</v>
      </c>
      <c r="H1363" s="17" t="s">
        <v>1455</v>
      </c>
      <c r="I1363">
        <f>_xlfn.XLOOKUP(H1363,Hoja1!H:H,Hoja1!G:G)</f>
        <v>2511</v>
      </c>
      <c r="J1363">
        <f>VLOOKUP(B1363,Hoja2!P:Q,2,0)</f>
        <v>3</v>
      </c>
      <c r="K1363" t="str">
        <f t="shared" si="8"/>
        <v>update formulario set id_categoria_formulario = 3 where id =2511;</v>
      </c>
    </row>
    <row r="1364" spans="1:11">
      <c r="A1364" s="18" t="s">
        <v>1586</v>
      </c>
      <c r="B1364" t="s">
        <v>1366</v>
      </c>
      <c r="C1364" t="s">
        <v>1428</v>
      </c>
      <c r="D1364" s="8">
        <v>46083</v>
      </c>
      <c r="F1364" s="8">
        <v>46116</v>
      </c>
      <c r="G1364" s="8">
        <f t="shared" si="9"/>
        <v>46130</v>
      </c>
      <c r="H1364" s="17" t="s">
        <v>1456</v>
      </c>
      <c r="I1364">
        <f>_xlfn.XLOOKUP(H1364,Hoja1!H:H,Hoja1!G:G)</f>
        <v>2510</v>
      </c>
      <c r="J1364">
        <f>VLOOKUP(B1364,Hoja2!P:Q,2,0)</f>
        <v>3</v>
      </c>
      <c r="K1364" t="str">
        <f t="shared" si="8"/>
        <v>update formulario set id_categoria_formulario = 3 where id =2510;</v>
      </c>
    </row>
    <row r="1365" spans="1:11">
      <c r="A1365" s="18" t="s">
        <v>1354</v>
      </c>
      <c r="B1365" t="s">
        <v>1394</v>
      </c>
      <c r="C1365" t="s">
        <v>1457</v>
      </c>
      <c r="D1365" s="25">
        <v>46105</v>
      </c>
      <c r="E1365" s="25">
        <v>46107</v>
      </c>
      <c r="F1365" s="21">
        <v>46146</v>
      </c>
      <c r="G1365" s="24">
        <f t="shared" si="9"/>
        <v>46161</v>
      </c>
      <c r="H1365" s="17" t="s">
        <v>1458</v>
      </c>
      <c r="I1365">
        <f>_xlfn.XLOOKUP(H1365,Hoja1!H:H,Hoja1!G:G)</f>
        <v>2553</v>
      </c>
      <c r="J1365">
        <f>VLOOKUP(B1365,Hoja2!P:Q,2,0)</f>
        <v>10</v>
      </c>
      <c r="K1365" t="str">
        <f t="shared" si="8"/>
        <v>update formulario set id_categoria_formulario = 10 where id =2553;</v>
      </c>
    </row>
    <row r="1366" spans="1:11">
      <c r="A1366" s="18" t="s">
        <v>1586</v>
      </c>
      <c r="B1366" t="s">
        <v>1366</v>
      </c>
      <c r="C1366" t="s">
        <v>1466</v>
      </c>
      <c r="D1366" s="25">
        <v>46105</v>
      </c>
      <c r="E1366" s="25">
        <v>46105</v>
      </c>
      <c r="F1366" s="8">
        <v>46139</v>
      </c>
      <c r="G1366" s="24">
        <f t="shared" si="9"/>
        <v>46154</v>
      </c>
      <c r="H1366" s="17" t="s">
        <v>1460</v>
      </c>
      <c r="I1366">
        <f>_xlfn.XLOOKUP(H1366,Hoja1!H:H,Hoja1!G:G)</f>
        <v>2565</v>
      </c>
      <c r="J1366">
        <f>VLOOKUP(B1366,Hoja2!P:Q,2,0)</f>
        <v>3</v>
      </c>
      <c r="K1366" t="str">
        <f t="shared" si="8"/>
        <v>update formulario set id_categoria_formulario = 3 where id =2565;</v>
      </c>
    </row>
    <row r="1367" spans="1:11">
      <c r="A1367" s="18" t="s">
        <v>1586</v>
      </c>
      <c r="B1367" t="s">
        <v>1366</v>
      </c>
      <c r="C1367" t="s">
        <v>1466</v>
      </c>
      <c r="D1367" s="25">
        <v>46105</v>
      </c>
      <c r="E1367" s="25">
        <v>46105</v>
      </c>
      <c r="F1367" s="8">
        <v>46139</v>
      </c>
      <c r="G1367" s="24">
        <f t="shared" ref="G1367:G1371" si="10">WORKDAY.INTL(F1367,10,1,0)+1</f>
        <v>46154</v>
      </c>
      <c r="H1367" s="17" t="s">
        <v>1461</v>
      </c>
      <c r="I1367">
        <f>_xlfn.XLOOKUP(H1367,Hoja1!H:H,Hoja1!G:G)</f>
        <v>2566</v>
      </c>
      <c r="J1367">
        <f>VLOOKUP(B1367,Hoja2!P:Q,2,0)</f>
        <v>3</v>
      </c>
      <c r="K1367" t="str">
        <f t="shared" si="8"/>
        <v>update formulario set id_categoria_formulario = 3 where id =2566;</v>
      </c>
    </row>
    <row r="1368" spans="1:11">
      <c r="A1368" s="18" t="s">
        <v>1586</v>
      </c>
      <c r="B1368" t="s">
        <v>1366</v>
      </c>
      <c r="C1368" s="26" t="s">
        <v>1467</v>
      </c>
      <c r="D1368" s="25">
        <v>46107</v>
      </c>
      <c r="E1368" s="25">
        <v>46107</v>
      </c>
      <c r="F1368" s="8">
        <v>46134</v>
      </c>
      <c r="G1368" s="24">
        <f t="shared" si="10"/>
        <v>46149</v>
      </c>
      <c r="H1368" s="17" t="s">
        <v>1462</v>
      </c>
      <c r="I1368">
        <f>_xlfn.XLOOKUP(H1368,Hoja1!H:H,Hoja1!G:G)</f>
        <v>2567</v>
      </c>
      <c r="J1368">
        <f>VLOOKUP(B1368,Hoja2!P:Q,2,0)</f>
        <v>3</v>
      </c>
      <c r="K1368" t="str">
        <f t="shared" si="8"/>
        <v>update formulario set id_categoria_formulario = 3 where id =2567;</v>
      </c>
    </row>
    <row r="1369" spans="1:11">
      <c r="A1369" s="18" t="s">
        <v>1586</v>
      </c>
      <c r="B1369" t="s">
        <v>1366</v>
      </c>
      <c r="C1369" t="s">
        <v>1426</v>
      </c>
      <c r="D1369" s="25">
        <v>46105</v>
      </c>
      <c r="E1369" s="25">
        <v>46105</v>
      </c>
      <c r="F1369" s="8">
        <v>46139</v>
      </c>
      <c r="G1369" s="24">
        <f t="shared" si="10"/>
        <v>46154</v>
      </c>
      <c r="H1369" s="17" t="s">
        <v>1463</v>
      </c>
      <c r="I1369">
        <f>_xlfn.XLOOKUP(H1369,Hoja1!H:H,Hoja1!G:G)</f>
        <v>2572</v>
      </c>
      <c r="J1369">
        <f>VLOOKUP(B1369,Hoja2!P:Q,2,0)</f>
        <v>3</v>
      </c>
      <c r="K1369" t="str">
        <f t="shared" si="8"/>
        <v>update formulario set id_categoria_formulario = 3 where id =2572;</v>
      </c>
    </row>
    <row r="1370" spans="1:11">
      <c r="A1370" s="18" t="s">
        <v>1586</v>
      </c>
      <c r="B1370" t="s">
        <v>1366</v>
      </c>
      <c r="C1370" t="s">
        <v>1464</v>
      </c>
      <c r="D1370" s="25">
        <v>46105</v>
      </c>
      <c r="E1370" s="25">
        <v>46105</v>
      </c>
      <c r="F1370" s="8">
        <v>46167</v>
      </c>
      <c r="G1370" s="24">
        <f t="shared" si="10"/>
        <v>46182</v>
      </c>
      <c r="H1370" s="17" t="s">
        <v>1465</v>
      </c>
      <c r="I1370">
        <f>_xlfn.XLOOKUP(H1370,Hoja1!H:H,Hoja1!G:G)</f>
        <v>2573</v>
      </c>
      <c r="J1370">
        <f>VLOOKUP(B1370,Hoja2!P:Q,2,0)</f>
        <v>3</v>
      </c>
      <c r="K1370" t="str">
        <f t="shared" si="8"/>
        <v>update formulario set id_categoria_formulario = 3 where id =2573;</v>
      </c>
    </row>
    <row r="1371" spans="1:11">
      <c r="A1371" s="18" t="s">
        <v>1354</v>
      </c>
      <c r="B1371" t="s">
        <v>1468</v>
      </c>
      <c r="C1371" t="s">
        <v>1469</v>
      </c>
      <c r="D1371" s="25">
        <v>46107</v>
      </c>
      <c r="E1371" s="25">
        <v>46115</v>
      </c>
      <c r="F1371" s="8">
        <v>46134</v>
      </c>
      <c r="G1371" s="24">
        <f t="shared" si="10"/>
        <v>46149</v>
      </c>
      <c r="H1371" s="17" t="s">
        <v>1470</v>
      </c>
      <c r="I1371">
        <f>_xlfn.XLOOKUP(H1371,Hoja1!H:H,Hoja1!G:G)</f>
        <v>2591</v>
      </c>
      <c r="J1371">
        <f>VLOOKUP(B1371,Hoja2!P:Q,2,0)</f>
        <v>10</v>
      </c>
      <c r="K1371" t="str">
        <f t="shared" si="8"/>
        <v>update formulario set id_categoria_formulario = 10 where id =2591;</v>
      </c>
    </row>
    <row r="1372" spans="1:11">
      <c r="A1372" s="18" t="s">
        <v>1354</v>
      </c>
      <c r="B1372" t="s">
        <v>1468</v>
      </c>
      <c r="C1372" t="s">
        <v>1469</v>
      </c>
      <c r="D1372" s="25">
        <v>46107</v>
      </c>
      <c r="E1372" s="25">
        <v>46115</v>
      </c>
      <c r="F1372" s="8">
        <v>46134</v>
      </c>
      <c r="G1372" s="24">
        <f t="shared" ref="G1372:G1384" si="11">WORKDAY.INTL(F1372,10,1,0)+1</f>
        <v>46149</v>
      </c>
      <c r="H1372" s="17" t="s">
        <v>1471</v>
      </c>
      <c r="I1372">
        <f>_xlfn.XLOOKUP(H1372,Hoja1!H:H,Hoja1!G:G)</f>
        <v>2592</v>
      </c>
      <c r="J1372">
        <f>VLOOKUP(B1372,Hoja2!P:Q,2,0)</f>
        <v>10</v>
      </c>
      <c r="K1372" t="str">
        <f t="shared" si="8"/>
        <v>update formulario set id_categoria_formulario = 10 where id =2592;</v>
      </c>
    </row>
    <row r="1373" spans="1:11">
      <c r="A1373" s="18" t="s">
        <v>1586</v>
      </c>
      <c r="B1373" t="s">
        <v>1366</v>
      </c>
      <c r="C1373" t="s">
        <v>1466</v>
      </c>
      <c r="D1373" s="25">
        <v>46135</v>
      </c>
      <c r="F1373" s="8">
        <v>46168</v>
      </c>
      <c r="G1373" s="24">
        <f t="shared" si="11"/>
        <v>46183</v>
      </c>
      <c r="H1373" s="17" t="s">
        <v>1472</v>
      </c>
      <c r="I1373">
        <f>_xlfn.XLOOKUP(H1373,Hoja1!H:H,Hoja1!G:G)</f>
        <v>2595</v>
      </c>
      <c r="J1373">
        <f>VLOOKUP(B1373,Hoja2!P:Q,2,0)</f>
        <v>3</v>
      </c>
      <c r="K1373" t="str">
        <f t="shared" si="8"/>
        <v>update formulario set id_categoria_formulario = 3 where id =2595;</v>
      </c>
    </row>
    <row r="1374" spans="1:11">
      <c r="A1374" s="18" t="s">
        <v>1586</v>
      </c>
      <c r="B1374" t="s">
        <v>1366</v>
      </c>
      <c r="C1374" t="s">
        <v>1473</v>
      </c>
      <c r="D1374" s="25">
        <v>46130</v>
      </c>
      <c r="F1374" s="25">
        <v>46132</v>
      </c>
      <c r="G1374" s="24">
        <f t="shared" si="11"/>
        <v>46147</v>
      </c>
      <c r="H1374" s="17" t="s">
        <v>1474</v>
      </c>
      <c r="I1374">
        <f>_xlfn.XLOOKUP(H1374,Hoja1!H:H,Hoja1!G:G)</f>
        <v>2597</v>
      </c>
      <c r="J1374">
        <f>VLOOKUP(B1374,Hoja2!P:Q,2,0)</f>
        <v>3</v>
      </c>
      <c r="K1374" t="str">
        <f t="shared" si="8"/>
        <v>update formulario set id_categoria_formulario = 3 where id =2597;</v>
      </c>
    </row>
    <row r="1375" spans="1:11">
      <c r="A1375" s="18" t="s">
        <v>1586</v>
      </c>
      <c r="B1375" t="s">
        <v>1366</v>
      </c>
      <c r="C1375" t="s">
        <v>1473</v>
      </c>
      <c r="D1375" s="25">
        <v>46130</v>
      </c>
      <c r="F1375" s="25">
        <v>46132</v>
      </c>
      <c r="G1375" s="24">
        <f t="shared" si="11"/>
        <v>46147</v>
      </c>
      <c r="H1375" s="17" t="s">
        <v>1475</v>
      </c>
      <c r="I1375">
        <f>_xlfn.XLOOKUP(H1375,Hoja1!H:H,Hoja1!G:G)</f>
        <v>2598</v>
      </c>
      <c r="J1375">
        <f>VLOOKUP(B1375,Hoja2!P:Q,2,0)</f>
        <v>3</v>
      </c>
      <c r="K1375" t="str">
        <f t="shared" si="8"/>
        <v>update formulario set id_categoria_formulario = 3 where id =2598;</v>
      </c>
    </row>
    <row r="1376" spans="1:11">
      <c r="A1376" s="18" t="s">
        <v>1354</v>
      </c>
      <c r="B1376" t="s">
        <v>1468</v>
      </c>
      <c r="C1376" t="s">
        <v>1469</v>
      </c>
      <c r="D1376" s="25">
        <v>46119</v>
      </c>
      <c r="E1376" s="25">
        <v>46122</v>
      </c>
      <c r="F1376" s="25">
        <v>46139</v>
      </c>
      <c r="G1376" s="24">
        <f t="shared" si="11"/>
        <v>46154</v>
      </c>
      <c r="H1376" s="17" t="s">
        <v>1476</v>
      </c>
      <c r="I1376">
        <f>_xlfn.XLOOKUP(H1376,Hoja1!H:H,Hoja1!G:G)</f>
        <v>2600</v>
      </c>
      <c r="J1376">
        <f>VLOOKUP(B1376,Hoja2!P:Q,2,0)</f>
        <v>10</v>
      </c>
      <c r="K1376" t="str">
        <f t="shared" si="8"/>
        <v>update formulario set id_categoria_formulario = 10 where id =2600;</v>
      </c>
    </row>
    <row r="1377" spans="1:11">
      <c r="A1377" s="18" t="s">
        <v>1586</v>
      </c>
      <c r="B1377" t="s">
        <v>1366</v>
      </c>
      <c r="C1377" t="s">
        <v>1477</v>
      </c>
      <c r="D1377" s="25">
        <v>46127</v>
      </c>
      <c r="F1377" s="25">
        <v>46152</v>
      </c>
      <c r="G1377" s="24">
        <f t="shared" si="11"/>
        <v>46165</v>
      </c>
      <c r="H1377" s="17" t="s">
        <v>1478</v>
      </c>
      <c r="I1377">
        <f>_xlfn.XLOOKUP(H1377,Hoja1!H:H,Hoja1!G:G)</f>
        <v>2601</v>
      </c>
      <c r="J1377">
        <f>VLOOKUP(B1377,Hoja2!P:Q,2,0)</f>
        <v>3</v>
      </c>
      <c r="K1377" t="str">
        <f t="shared" si="8"/>
        <v>update formulario set id_categoria_formulario = 3 where id =2601;</v>
      </c>
    </row>
    <row r="1378" spans="1:11">
      <c r="A1378" s="18" t="s">
        <v>1586</v>
      </c>
      <c r="B1378" t="s">
        <v>1366</v>
      </c>
      <c r="C1378" t="s">
        <v>1477</v>
      </c>
      <c r="D1378" s="25">
        <v>46125</v>
      </c>
      <c r="F1378" s="25">
        <v>46152</v>
      </c>
      <c r="G1378" s="24">
        <f t="shared" si="11"/>
        <v>46165</v>
      </c>
      <c r="H1378" s="17" t="s">
        <v>1479</v>
      </c>
      <c r="I1378">
        <f>_xlfn.XLOOKUP(H1378,Hoja1!H:H,Hoja1!G:G)</f>
        <v>2602</v>
      </c>
      <c r="J1378">
        <f>VLOOKUP(B1378,Hoja2!P:Q,2,0)</f>
        <v>3</v>
      </c>
      <c r="K1378" t="str">
        <f t="shared" si="8"/>
        <v>update formulario set id_categoria_formulario = 3 where id =2602;</v>
      </c>
    </row>
    <row r="1379" spans="1:11">
      <c r="A1379" s="18" t="s">
        <v>1586</v>
      </c>
      <c r="B1379" t="s">
        <v>1366</v>
      </c>
      <c r="C1379" t="s">
        <v>1477</v>
      </c>
      <c r="D1379" s="25">
        <v>46135</v>
      </c>
      <c r="F1379" s="25">
        <v>46152</v>
      </c>
      <c r="G1379" s="24">
        <f t="shared" si="11"/>
        <v>46165</v>
      </c>
      <c r="H1379" s="17" t="s">
        <v>1480</v>
      </c>
      <c r="I1379">
        <f>_xlfn.XLOOKUP(H1379,Hoja1!H:H,Hoja1!G:G)</f>
        <v>2605</v>
      </c>
      <c r="J1379">
        <f>VLOOKUP(B1379,Hoja2!P:Q,2,0)</f>
        <v>3</v>
      </c>
      <c r="K1379" t="str">
        <f t="shared" si="8"/>
        <v>update formulario set id_categoria_formulario = 3 where id =2605;</v>
      </c>
    </row>
    <row r="1380" spans="1:11">
      <c r="A1380" s="18" t="s">
        <v>1586</v>
      </c>
      <c r="B1380" t="s">
        <v>1366</v>
      </c>
      <c r="C1380" t="s">
        <v>1464</v>
      </c>
      <c r="D1380" s="25">
        <v>46118</v>
      </c>
      <c r="F1380" s="25">
        <v>46196</v>
      </c>
      <c r="G1380" s="24">
        <f t="shared" si="11"/>
        <v>46211</v>
      </c>
      <c r="H1380" s="17" t="s">
        <v>1481</v>
      </c>
      <c r="I1380">
        <f>_xlfn.XLOOKUP(H1380,Hoja1!H:H,Hoja1!G:G)</f>
        <v>2623</v>
      </c>
      <c r="J1380">
        <f>VLOOKUP(B1380,Hoja2!P:Q,2,0)</f>
        <v>3</v>
      </c>
      <c r="K1380" t="str">
        <f t="shared" si="8"/>
        <v>update formulario set id_categoria_formulario = 3 where id =2623;</v>
      </c>
    </row>
    <row r="1381" spans="1:11">
      <c r="A1381" s="18" t="s">
        <v>1586</v>
      </c>
      <c r="B1381" t="s">
        <v>1366</v>
      </c>
      <c r="C1381" t="s">
        <v>1464</v>
      </c>
      <c r="D1381" s="25">
        <v>46118</v>
      </c>
      <c r="F1381" s="25">
        <v>46196</v>
      </c>
      <c r="G1381" s="24">
        <f t="shared" si="11"/>
        <v>46211</v>
      </c>
      <c r="H1381" s="17" t="s">
        <v>1482</v>
      </c>
      <c r="I1381">
        <f>_xlfn.XLOOKUP(H1381,Hoja1!H:H,Hoja1!G:G)</f>
        <v>2624</v>
      </c>
      <c r="J1381">
        <f>VLOOKUP(B1381,Hoja2!P:Q,2,0)</f>
        <v>3</v>
      </c>
      <c r="K1381" t="str">
        <f t="shared" si="8"/>
        <v>update formulario set id_categoria_formulario = 3 where id =2624;</v>
      </c>
    </row>
    <row r="1382" spans="1:11">
      <c r="A1382" s="18" t="s">
        <v>1586</v>
      </c>
      <c r="B1382" t="s">
        <v>1366</v>
      </c>
      <c r="C1382" t="s">
        <v>1464</v>
      </c>
      <c r="D1382" s="25">
        <v>46127</v>
      </c>
      <c r="E1382" s="25">
        <v>46134</v>
      </c>
      <c r="F1382" s="25">
        <v>46154</v>
      </c>
      <c r="G1382" s="24">
        <f t="shared" si="11"/>
        <v>46169</v>
      </c>
      <c r="H1382" s="17" t="s">
        <v>1483</v>
      </c>
      <c r="I1382">
        <f>_xlfn.XLOOKUP(H1382,Hoja1!H:H,Hoja1!G:G)</f>
        <v>2625</v>
      </c>
      <c r="J1382">
        <f>VLOOKUP(B1382,Hoja2!P:Q,2,0)</f>
        <v>3</v>
      </c>
      <c r="K1382" t="str">
        <f t="shared" si="8"/>
        <v>update formulario set id_categoria_formulario = 3 where id =2625;</v>
      </c>
    </row>
    <row r="1383" spans="1:11">
      <c r="A1383" s="2" t="s">
        <v>1588</v>
      </c>
      <c r="B1383" t="s">
        <v>1366</v>
      </c>
      <c r="C1383" t="s">
        <v>1484</v>
      </c>
      <c r="D1383" s="25">
        <v>46128</v>
      </c>
      <c r="F1383" s="25">
        <v>46142</v>
      </c>
      <c r="G1383" s="24">
        <f t="shared" si="11"/>
        <v>46157</v>
      </c>
      <c r="H1383" s="17" t="s">
        <v>1485</v>
      </c>
      <c r="I1383">
        <f>_xlfn.XLOOKUP(H1383,Hoja1!H:H,Hoja1!G:G)</f>
        <v>2633</v>
      </c>
      <c r="J1383">
        <f>VLOOKUP(B1383,Hoja2!P:Q,2,0)</f>
        <v>3</v>
      </c>
      <c r="K1383" t="str">
        <f t="shared" si="8"/>
        <v>update formulario set id_categoria_formulario = 3 where id =2633;</v>
      </c>
    </row>
    <row r="1384" spans="1:11">
      <c r="A1384" s="2" t="s">
        <v>1588</v>
      </c>
      <c r="B1384" t="s">
        <v>1366</v>
      </c>
      <c r="C1384" t="s">
        <v>1484</v>
      </c>
      <c r="D1384" s="25">
        <v>46128</v>
      </c>
      <c r="F1384" s="25">
        <v>46142</v>
      </c>
      <c r="G1384" s="24">
        <f t="shared" si="11"/>
        <v>46157</v>
      </c>
      <c r="H1384" s="17" t="s">
        <v>1486</v>
      </c>
      <c r="I1384">
        <f>_xlfn.XLOOKUP(H1384,Hoja1!H:H,Hoja1!G:G)</f>
        <v>2634</v>
      </c>
      <c r="J1384">
        <f>VLOOKUP(B1384,Hoja2!P:Q,2,0)</f>
        <v>3</v>
      </c>
      <c r="K1384" t="str">
        <f t="shared" si="8"/>
        <v>update formulario set id_categoria_formulario = 3 where id =2634;</v>
      </c>
    </row>
    <row r="1385" spans="1:11">
      <c r="A1385" s="18" t="s">
        <v>1586</v>
      </c>
      <c r="B1385" t="s">
        <v>1366</v>
      </c>
      <c r="C1385" t="s">
        <v>1473</v>
      </c>
      <c r="D1385" s="25">
        <v>46130</v>
      </c>
      <c r="F1385" s="25">
        <v>46132</v>
      </c>
      <c r="G1385" s="24">
        <f t="shared" ref="G1385:G1386" si="12">WORKDAY.INTL(F1385,10,1,0)+1</f>
        <v>46147</v>
      </c>
      <c r="H1385" s="17" t="s">
        <v>1487</v>
      </c>
      <c r="I1385">
        <f>_xlfn.XLOOKUP(H1385,Hoja1!H:H,Hoja1!G:G)</f>
        <v>2637</v>
      </c>
      <c r="J1385">
        <f>VLOOKUP(B1385,Hoja2!P:Q,2,0)</f>
        <v>3</v>
      </c>
      <c r="K1385" t="str">
        <f t="shared" si="8"/>
        <v>update formulario set id_categoria_formulario = 3 where id =2637;</v>
      </c>
    </row>
    <row r="1386" spans="1:11">
      <c r="A1386" s="18" t="s">
        <v>1586</v>
      </c>
      <c r="B1386" t="s">
        <v>1366</v>
      </c>
      <c r="C1386" t="s">
        <v>1473</v>
      </c>
      <c r="D1386" s="25">
        <v>46130</v>
      </c>
      <c r="F1386" s="25">
        <v>46132</v>
      </c>
      <c r="G1386" s="24">
        <f t="shared" si="12"/>
        <v>46147</v>
      </c>
      <c r="H1386" s="17" t="s">
        <v>1488</v>
      </c>
      <c r="I1386">
        <f>_xlfn.XLOOKUP(H1386,Hoja1!H:H,Hoja1!G:G)</f>
        <v>2638</v>
      </c>
      <c r="J1386">
        <f>VLOOKUP(B1386,Hoja2!P:Q,2,0)</f>
        <v>3</v>
      </c>
      <c r="K1386" t="str">
        <f t="shared" si="8"/>
        <v>update formulario set id_categoria_formulario = 3 where id =2638;</v>
      </c>
    </row>
    <row r="1387" spans="1:11">
      <c r="A1387" s="18" t="s">
        <v>1586</v>
      </c>
      <c r="B1387" t="s">
        <v>1366</v>
      </c>
      <c r="C1387" t="s">
        <v>1473</v>
      </c>
      <c r="D1387" s="25">
        <v>46130</v>
      </c>
      <c r="F1387" s="25">
        <v>46132</v>
      </c>
      <c r="G1387" s="24">
        <f t="shared" ref="G1387:G1393" si="13">WORKDAY.INTL(F1387,10,1,0)+1</f>
        <v>46147</v>
      </c>
      <c r="H1387" s="17" t="s">
        <v>1489</v>
      </c>
      <c r="I1387">
        <f>_xlfn.XLOOKUP(H1387,Hoja1!H:H,Hoja1!G:G)</f>
        <v>2639</v>
      </c>
      <c r="J1387">
        <f>VLOOKUP(B1387,Hoja2!P:Q,2,0)</f>
        <v>3</v>
      </c>
      <c r="K1387" t="str">
        <f t="shared" si="8"/>
        <v>update formulario set id_categoria_formulario = 3 where id =2639;</v>
      </c>
    </row>
    <row r="1388" spans="1:11">
      <c r="A1388" s="18" t="s">
        <v>1586</v>
      </c>
      <c r="B1388" t="s">
        <v>1366</v>
      </c>
      <c r="C1388" t="s">
        <v>1493</v>
      </c>
      <c r="D1388" s="25">
        <v>46169</v>
      </c>
      <c r="F1388" s="25">
        <v>46253</v>
      </c>
      <c r="G1388" s="24">
        <f t="shared" si="13"/>
        <v>46268</v>
      </c>
      <c r="H1388" s="17" t="s">
        <v>1490</v>
      </c>
      <c r="I1388">
        <f>_xlfn.XLOOKUP(H1388,Hoja1!H:H,Hoja1!G:G)</f>
        <v>2643</v>
      </c>
      <c r="J1388">
        <f>VLOOKUP(B1388,Hoja2!P:Q,2,0)</f>
        <v>3</v>
      </c>
      <c r="K1388" t="str">
        <f t="shared" si="8"/>
        <v>update formulario set id_categoria_formulario = 3 where id =2643;</v>
      </c>
    </row>
    <row r="1389" spans="1:11">
      <c r="A1389" s="18" t="s">
        <v>1586</v>
      </c>
      <c r="B1389" t="s">
        <v>1366</v>
      </c>
      <c r="C1389" t="s">
        <v>1477</v>
      </c>
      <c r="D1389" s="25">
        <v>46135</v>
      </c>
      <c r="F1389" s="25">
        <v>46152</v>
      </c>
      <c r="G1389" s="24">
        <f t="shared" si="13"/>
        <v>46165</v>
      </c>
      <c r="H1389" s="17" t="s">
        <v>1491</v>
      </c>
      <c r="I1389">
        <f>_xlfn.XLOOKUP(H1389,Hoja1!H:H,Hoja1!G:G)</f>
        <v>2644</v>
      </c>
      <c r="J1389">
        <f>VLOOKUP(B1389,Hoja2!P:Q,2,0)</f>
        <v>3</v>
      </c>
      <c r="K1389" t="str">
        <f t="shared" si="8"/>
        <v>update formulario set id_categoria_formulario = 3 where id =2644;</v>
      </c>
    </row>
    <row r="1390" spans="1:11">
      <c r="A1390" s="18" t="s">
        <v>1494</v>
      </c>
      <c r="B1390" t="s">
        <v>1495</v>
      </c>
      <c r="C1390" t="s">
        <v>1496</v>
      </c>
      <c r="D1390" s="25">
        <v>46136</v>
      </c>
      <c r="F1390" s="25">
        <v>46168</v>
      </c>
      <c r="G1390" s="24">
        <f t="shared" si="13"/>
        <v>46183</v>
      </c>
      <c r="H1390" s="17" t="s">
        <v>1492</v>
      </c>
      <c r="I1390">
        <f>_xlfn.XLOOKUP(H1390,Hoja1!H:H,Hoja1!G:G)</f>
        <v>2645</v>
      </c>
      <c r="J1390">
        <f>VLOOKUP(B1390,Hoja2!P:Q,2,0)</f>
        <v>11</v>
      </c>
      <c r="K1390" t="str">
        <f t="shared" si="8"/>
        <v>update formulario set id_categoria_formulario = 11 where id =2645;</v>
      </c>
    </row>
    <row r="1391" spans="1:11">
      <c r="A1391" s="18" t="s">
        <v>1586</v>
      </c>
      <c r="B1391" t="s">
        <v>1366</v>
      </c>
      <c r="C1391" t="s">
        <v>1477</v>
      </c>
      <c r="D1391" s="25">
        <v>46136</v>
      </c>
      <c r="F1391" s="25">
        <v>46152</v>
      </c>
      <c r="G1391" s="24">
        <f t="shared" si="13"/>
        <v>46165</v>
      </c>
      <c r="H1391" s="17" t="s">
        <v>1497</v>
      </c>
      <c r="I1391">
        <f>_xlfn.XLOOKUP(H1391,Hoja1!H:H,Hoja1!G:G)</f>
        <v>2657</v>
      </c>
      <c r="J1391">
        <f>VLOOKUP(B1391,Hoja2!P:Q,2,0)</f>
        <v>3</v>
      </c>
      <c r="K1391" t="str">
        <f t="shared" si="8"/>
        <v>update formulario set id_categoria_formulario = 3 where id =2657;</v>
      </c>
    </row>
    <row r="1392" spans="1:11">
      <c r="A1392" s="18" t="s">
        <v>1586</v>
      </c>
      <c r="B1392" t="s">
        <v>1366</v>
      </c>
      <c r="C1392" t="s">
        <v>1477</v>
      </c>
      <c r="D1392" s="25">
        <v>46136</v>
      </c>
      <c r="F1392" s="25">
        <v>46152</v>
      </c>
      <c r="G1392" s="24">
        <f t="shared" si="13"/>
        <v>46165</v>
      </c>
      <c r="H1392" s="17" t="s">
        <v>1498</v>
      </c>
      <c r="I1392">
        <f>_xlfn.XLOOKUP(H1392,Hoja1!H:H,Hoja1!G:G)</f>
        <v>2658</v>
      </c>
      <c r="J1392">
        <f>VLOOKUP(B1392,Hoja2!P:Q,2,0)</f>
        <v>3</v>
      </c>
      <c r="K1392" t="str">
        <f t="shared" si="8"/>
        <v>update formulario set id_categoria_formulario = 3 where id =2658;</v>
      </c>
    </row>
    <row r="1393" spans="1:11">
      <c r="A1393" s="18" t="s">
        <v>1586</v>
      </c>
      <c r="B1393" t="s">
        <v>1366</v>
      </c>
      <c r="C1393" t="s">
        <v>1477</v>
      </c>
      <c r="D1393" s="25">
        <v>46136</v>
      </c>
      <c r="F1393" s="25">
        <v>46152</v>
      </c>
      <c r="G1393" s="24">
        <f t="shared" si="13"/>
        <v>46165</v>
      </c>
      <c r="H1393" s="17" t="s">
        <v>1499</v>
      </c>
      <c r="I1393">
        <f>_xlfn.XLOOKUP(H1393,Hoja1!H:H,Hoja1!G:G)</f>
        <v>2661</v>
      </c>
      <c r="J1393">
        <f>VLOOKUP(B1393,Hoja2!P:Q,2,0)</f>
        <v>3</v>
      </c>
      <c r="K1393" t="str">
        <f t="shared" si="8"/>
        <v>update formulario set id_categoria_formulario = 3 where id =2661;</v>
      </c>
    </row>
    <row r="1394" spans="1:11">
      <c r="A1394" s="18" t="s">
        <v>1586</v>
      </c>
      <c r="B1394" t="s">
        <v>1366</v>
      </c>
      <c r="C1394" t="s">
        <v>1477</v>
      </c>
      <c r="D1394" s="25">
        <v>46140</v>
      </c>
      <c r="F1394" s="25">
        <v>46167</v>
      </c>
      <c r="G1394" s="24">
        <f t="shared" ref="G1394:G1402" si="14">WORKDAY.INTL(F1394,10,1,0)+1</f>
        <v>46182</v>
      </c>
      <c r="H1394" s="17" t="s">
        <v>1500</v>
      </c>
      <c r="I1394">
        <f>_xlfn.XLOOKUP(H1394,Hoja1!H:H,Hoja1!G:G)</f>
        <v>2662</v>
      </c>
      <c r="J1394">
        <f>VLOOKUP(B1394,Hoja2!P:Q,2,0)</f>
        <v>3</v>
      </c>
      <c r="K1394" t="str">
        <f t="shared" si="8"/>
        <v>update formulario set id_categoria_formulario = 3 where id =2662;</v>
      </c>
    </row>
    <row r="1395" spans="1:11">
      <c r="A1395" s="18" t="s">
        <v>1494</v>
      </c>
      <c r="B1395" t="s">
        <v>1386</v>
      </c>
      <c r="C1395" t="s">
        <v>1501</v>
      </c>
      <c r="D1395" s="25">
        <v>46135</v>
      </c>
      <c r="F1395" s="25">
        <v>46168</v>
      </c>
      <c r="G1395" s="24">
        <f t="shared" si="14"/>
        <v>46183</v>
      </c>
      <c r="H1395" s="17" t="s">
        <v>1504</v>
      </c>
      <c r="I1395">
        <f>_xlfn.XLOOKUP(H1395,Hoja1!H:H,Hoja1!G:G)</f>
        <v>2668</v>
      </c>
      <c r="J1395">
        <f>VLOOKUP(B1395,Hoja2!P:Q,2,0)</f>
        <v>9</v>
      </c>
      <c r="K1395" t="str">
        <f t="shared" si="8"/>
        <v>update formulario set id_categoria_formulario = 9 where id =2668;</v>
      </c>
    </row>
    <row r="1396" spans="1:11">
      <c r="A1396" s="18" t="s">
        <v>1586</v>
      </c>
      <c r="B1396" t="s">
        <v>1366</v>
      </c>
      <c r="C1396" t="s">
        <v>1502</v>
      </c>
      <c r="D1396" s="25">
        <v>46135</v>
      </c>
      <c r="F1396" s="25">
        <v>46168</v>
      </c>
      <c r="G1396" s="24">
        <f t="shared" si="14"/>
        <v>46183</v>
      </c>
      <c r="H1396" s="17" t="s">
        <v>1503</v>
      </c>
      <c r="I1396">
        <f>_xlfn.XLOOKUP(H1396,Hoja1!H:H,Hoja1!G:G)</f>
        <v>2665</v>
      </c>
      <c r="J1396">
        <f>VLOOKUP(B1396,Hoja2!P:Q,2,0)</f>
        <v>3</v>
      </c>
      <c r="K1396" t="str">
        <f t="shared" si="8"/>
        <v>update formulario set id_categoria_formulario = 3 where id =2665;</v>
      </c>
    </row>
    <row r="1397" spans="1:11">
      <c r="A1397" s="18" t="s">
        <v>1494</v>
      </c>
      <c r="B1397" t="s">
        <v>1495</v>
      </c>
      <c r="C1397" t="s">
        <v>1505</v>
      </c>
      <c r="D1397" s="25">
        <v>46141</v>
      </c>
      <c r="F1397" s="25">
        <v>46172</v>
      </c>
      <c r="G1397" s="24">
        <f t="shared" si="14"/>
        <v>46186</v>
      </c>
      <c r="H1397" s="17" t="s">
        <v>1508</v>
      </c>
      <c r="I1397">
        <f>_xlfn.XLOOKUP(H1397,Hoja1!H:H,Hoja1!G:G)</f>
        <v>2673</v>
      </c>
      <c r="J1397">
        <f>VLOOKUP(B1397,Hoja2!P:Q,2,0)</f>
        <v>11</v>
      </c>
      <c r="K1397" t="str">
        <f t="shared" si="8"/>
        <v>update formulario set id_categoria_formulario = 11 where id =2673;</v>
      </c>
    </row>
    <row r="1398" spans="1:11">
      <c r="A1398" s="18" t="s">
        <v>1494</v>
      </c>
      <c r="B1398" t="s">
        <v>1495</v>
      </c>
      <c r="C1398" t="s">
        <v>1506</v>
      </c>
      <c r="D1398" s="25">
        <v>46141</v>
      </c>
      <c r="F1398" s="25">
        <v>46203</v>
      </c>
      <c r="G1398" s="24">
        <f t="shared" si="14"/>
        <v>46218</v>
      </c>
      <c r="H1398" s="17" t="s">
        <v>1509</v>
      </c>
      <c r="I1398">
        <f>_xlfn.XLOOKUP(H1398,Hoja1!H:H,Hoja1!G:G)</f>
        <v>2675</v>
      </c>
      <c r="J1398">
        <f>VLOOKUP(B1398,Hoja2!P:Q,2,0)</f>
        <v>11</v>
      </c>
      <c r="K1398" t="str">
        <f t="shared" si="8"/>
        <v>update formulario set id_categoria_formulario = 11 where id =2675;</v>
      </c>
    </row>
    <row r="1399" spans="1:11">
      <c r="A1399" s="18" t="s">
        <v>1494</v>
      </c>
      <c r="B1399" t="s">
        <v>1495</v>
      </c>
      <c r="C1399" t="s">
        <v>1507</v>
      </c>
      <c r="D1399" s="25">
        <v>46141</v>
      </c>
      <c r="F1399" s="25">
        <v>46203</v>
      </c>
      <c r="G1399" s="24">
        <f t="shared" si="14"/>
        <v>46218</v>
      </c>
      <c r="H1399" s="17" t="s">
        <v>1510</v>
      </c>
      <c r="I1399">
        <f>_xlfn.XLOOKUP(H1399,Hoja1!H:H,Hoja1!G:G)</f>
        <v>2674</v>
      </c>
      <c r="J1399">
        <f>VLOOKUP(B1399,Hoja2!P:Q,2,0)</f>
        <v>11</v>
      </c>
      <c r="K1399" t="str">
        <f t="shared" si="8"/>
        <v>update formulario set id_categoria_formulario = 11 where id =2674;</v>
      </c>
    </row>
    <row r="1400" spans="1:11">
      <c r="A1400" s="18" t="s">
        <v>1586</v>
      </c>
      <c r="B1400" t="s">
        <v>1366</v>
      </c>
      <c r="C1400" t="s">
        <v>1473</v>
      </c>
      <c r="D1400" s="25">
        <v>46135</v>
      </c>
      <c r="F1400" s="25">
        <v>46168</v>
      </c>
      <c r="G1400" s="24">
        <f t="shared" si="14"/>
        <v>46183</v>
      </c>
      <c r="H1400" s="17" t="s">
        <v>1511</v>
      </c>
      <c r="I1400">
        <f>_xlfn.XLOOKUP(H1400,Hoja1!H:H,Hoja1!G:G)</f>
        <v>2680</v>
      </c>
      <c r="J1400">
        <f>VLOOKUP(B1400,Hoja2!P:Q,2,0)</f>
        <v>3</v>
      </c>
      <c r="K1400" t="str">
        <f t="shared" si="8"/>
        <v>update formulario set id_categoria_formulario = 3 where id =2680;</v>
      </c>
    </row>
    <row r="1401" spans="1:11">
      <c r="A1401" s="18" t="s">
        <v>1586</v>
      </c>
      <c r="B1401" t="s">
        <v>1366</v>
      </c>
      <c r="C1401" t="s">
        <v>1513</v>
      </c>
      <c r="D1401" s="25">
        <v>46142</v>
      </c>
      <c r="F1401" s="25">
        <v>46150</v>
      </c>
      <c r="G1401" s="24">
        <f t="shared" si="14"/>
        <v>46165</v>
      </c>
      <c r="H1401" s="17" t="s">
        <v>1512</v>
      </c>
      <c r="I1401">
        <f>_xlfn.XLOOKUP(H1401,Hoja1!H:H,Hoja1!G:G)</f>
        <v>2685</v>
      </c>
      <c r="J1401">
        <f>VLOOKUP(B1401,Hoja2!P:Q,2,0)</f>
        <v>3</v>
      </c>
      <c r="K1401" t="str">
        <f t="shared" si="8"/>
        <v>update formulario set id_categoria_formulario = 3 where id =2685;</v>
      </c>
    </row>
    <row r="1402" spans="1:11">
      <c r="A1402" s="18" t="s">
        <v>1586</v>
      </c>
      <c r="B1402" t="s">
        <v>1366</v>
      </c>
      <c r="C1402" t="s">
        <v>1473</v>
      </c>
      <c r="D1402" s="25">
        <v>46135</v>
      </c>
      <c r="F1402" s="25">
        <v>46168</v>
      </c>
      <c r="G1402" s="24">
        <f t="shared" si="14"/>
        <v>46183</v>
      </c>
      <c r="H1402" s="17" t="s">
        <v>1514</v>
      </c>
      <c r="I1402">
        <f>_xlfn.XLOOKUP(H1402,Hoja1!H:H,Hoja1!G:G)</f>
        <v>2686</v>
      </c>
      <c r="J1402">
        <f>VLOOKUP(B1402,Hoja2!P:Q,2,0)</f>
        <v>3</v>
      </c>
      <c r="K1402" t="str">
        <f t="shared" si="8"/>
        <v>update formulario set id_categoria_formulario = 3 where id =2686;</v>
      </c>
    </row>
    <row r="1403" spans="1:11">
      <c r="A1403" s="18" t="s">
        <v>1586</v>
      </c>
      <c r="B1403" t="s">
        <v>1366</v>
      </c>
      <c r="C1403" t="s">
        <v>1473</v>
      </c>
      <c r="D1403" s="25">
        <v>46135</v>
      </c>
      <c r="F1403" s="25">
        <v>46168</v>
      </c>
      <c r="G1403" s="24">
        <f t="shared" ref="G1403:G1409" si="15">WORKDAY.INTL(F1403,10,1,0)+1</f>
        <v>46183</v>
      </c>
      <c r="H1403" s="17" t="s">
        <v>1515</v>
      </c>
      <c r="I1403">
        <f>_xlfn.XLOOKUP(H1403,Hoja1!H:H,Hoja1!G:G)</f>
        <v>2687</v>
      </c>
      <c r="J1403">
        <f>VLOOKUP(B1403,Hoja2!P:Q,2,0)</f>
        <v>3</v>
      </c>
      <c r="K1403" t="str">
        <f t="shared" si="8"/>
        <v>update formulario set id_categoria_formulario = 3 where id =2687;</v>
      </c>
    </row>
    <row r="1404" spans="1:11">
      <c r="A1404" s="18" t="s">
        <v>1494</v>
      </c>
      <c r="B1404" t="s">
        <v>1495</v>
      </c>
      <c r="C1404" t="s">
        <v>1517</v>
      </c>
      <c r="D1404" s="25">
        <v>46148</v>
      </c>
      <c r="F1404" s="25">
        <v>46295</v>
      </c>
      <c r="G1404" s="24">
        <f t="shared" si="15"/>
        <v>46310</v>
      </c>
      <c r="H1404" s="17" t="s">
        <v>1516</v>
      </c>
      <c r="I1404">
        <f>_xlfn.XLOOKUP(H1404,Hoja1!H:H,Hoja1!G:G)</f>
        <v>2692</v>
      </c>
      <c r="J1404">
        <f>VLOOKUP(B1404,Hoja2!P:Q,2,0)</f>
        <v>11</v>
      </c>
      <c r="K1404" t="str">
        <f t="shared" ref="K1404:K1435" si="16">"update formulario set id_categoria_formulario = "&amp;J1404&amp;" where id ="&amp;I1404&amp;";"</f>
        <v>update formulario set id_categoria_formulario = 11 where id =2692;</v>
      </c>
    </row>
    <row r="1405" spans="1:11">
      <c r="A1405" s="18" t="s">
        <v>1494</v>
      </c>
      <c r="B1405" t="s">
        <v>1495</v>
      </c>
      <c r="C1405" t="s">
        <v>1135</v>
      </c>
      <c r="D1405" s="25">
        <v>46149</v>
      </c>
      <c r="F1405" s="25">
        <v>46203</v>
      </c>
      <c r="G1405" s="24">
        <f t="shared" si="15"/>
        <v>46218</v>
      </c>
      <c r="H1405" s="17" t="s">
        <v>1518</v>
      </c>
      <c r="I1405">
        <f>_xlfn.XLOOKUP(H1405,Hoja1!H:H,Hoja1!G:G)</f>
        <v>2704</v>
      </c>
      <c r="J1405">
        <f>VLOOKUP(B1405,Hoja2!P:Q,2,0)</f>
        <v>11</v>
      </c>
      <c r="K1405" t="str">
        <f t="shared" si="16"/>
        <v>update formulario set id_categoria_formulario = 11 where id =2704;</v>
      </c>
    </row>
    <row r="1406" spans="1:11">
      <c r="A1406" s="18" t="s">
        <v>1494</v>
      </c>
      <c r="B1406" t="s">
        <v>1495</v>
      </c>
      <c r="C1406" t="s">
        <v>1135</v>
      </c>
      <c r="D1406" s="25">
        <v>46149</v>
      </c>
      <c r="F1406" s="25">
        <v>46203</v>
      </c>
      <c r="G1406" s="24">
        <f t="shared" si="15"/>
        <v>46218</v>
      </c>
      <c r="H1406" s="17" t="s">
        <v>1519</v>
      </c>
      <c r="I1406">
        <f>_xlfn.XLOOKUP(H1406,Hoja1!H:H,Hoja1!G:G)</f>
        <v>2705</v>
      </c>
      <c r="J1406">
        <f>VLOOKUP(B1406,Hoja2!P:Q,2,0)</f>
        <v>11</v>
      </c>
      <c r="K1406" t="str">
        <f t="shared" si="16"/>
        <v>update formulario set id_categoria_formulario = 11 where id =2705;</v>
      </c>
    </row>
    <row r="1407" spans="1:11">
      <c r="A1407" s="18" t="s">
        <v>1354</v>
      </c>
      <c r="B1407" t="s">
        <v>1468</v>
      </c>
      <c r="C1407" t="s">
        <v>1520</v>
      </c>
      <c r="D1407" s="25">
        <v>46155</v>
      </c>
      <c r="E1407" s="25">
        <v>46162</v>
      </c>
      <c r="F1407" s="25">
        <v>46196</v>
      </c>
      <c r="G1407" s="24">
        <f t="shared" si="15"/>
        <v>46211</v>
      </c>
      <c r="H1407" s="17" t="s">
        <v>1521</v>
      </c>
      <c r="I1407">
        <f>_xlfn.XLOOKUP(H1407,Hoja1!H:H,Hoja1!G:G)</f>
        <v>2719</v>
      </c>
      <c r="J1407">
        <f>VLOOKUP(B1407,Hoja2!P:Q,2,0)</f>
        <v>10</v>
      </c>
      <c r="K1407" t="str">
        <f t="shared" si="16"/>
        <v>update formulario set id_categoria_formulario = 10 where id =2719;</v>
      </c>
    </row>
    <row r="1408" spans="1:11">
      <c r="A1408" s="18" t="s">
        <v>1494</v>
      </c>
      <c r="B1408" t="s">
        <v>1351</v>
      </c>
      <c r="C1408" t="s">
        <v>1522</v>
      </c>
      <c r="D1408" s="25">
        <v>46168</v>
      </c>
      <c r="F1408" s="25">
        <v>46234</v>
      </c>
      <c r="G1408" s="24">
        <f t="shared" si="15"/>
        <v>46249</v>
      </c>
      <c r="H1408" s="17" t="s">
        <v>1523</v>
      </c>
      <c r="I1408">
        <f>_xlfn.XLOOKUP(H1408,Hoja1!H:H,Hoja1!G:G)</f>
        <v>2733</v>
      </c>
      <c r="J1408">
        <f>VLOOKUP(B1408,Hoja2!P:Q,2,0)</f>
        <v>6</v>
      </c>
      <c r="K1408" t="str">
        <f t="shared" si="16"/>
        <v>update formulario set id_categoria_formulario = 6 where id =2733;</v>
      </c>
    </row>
    <row r="1409" spans="1:11">
      <c r="A1409" s="18" t="s">
        <v>1494</v>
      </c>
      <c r="B1409" t="s">
        <v>1357</v>
      </c>
      <c r="C1409" t="s">
        <v>1524</v>
      </c>
      <c r="D1409" s="25">
        <v>46169</v>
      </c>
      <c r="F1409" s="25">
        <v>46225</v>
      </c>
      <c r="G1409" s="24">
        <f t="shared" si="15"/>
        <v>46240</v>
      </c>
      <c r="H1409" s="17" t="s">
        <v>1525</v>
      </c>
      <c r="I1409">
        <f>_xlfn.XLOOKUP(H1409,Hoja1!H:H,Hoja1!G:G)</f>
        <v>2735</v>
      </c>
      <c r="J1409">
        <f>VLOOKUP(B1409,Hoja2!P:Q,2,0)</f>
        <v>7</v>
      </c>
      <c r="K1409" t="str">
        <f t="shared" si="16"/>
        <v>update formulario set id_categoria_formulario = 7 where id =2735;</v>
      </c>
    </row>
    <row r="1410" spans="1:11">
      <c r="A1410" s="18" t="s">
        <v>1494</v>
      </c>
      <c r="B1410" t="s">
        <v>1357</v>
      </c>
      <c r="C1410" t="s">
        <v>1524</v>
      </c>
      <c r="D1410" s="25">
        <v>46169</v>
      </c>
      <c r="F1410" s="25">
        <v>46225</v>
      </c>
      <c r="G1410" s="24">
        <f t="shared" ref="G1410:G1411" si="17">WORKDAY.INTL(F1410,10,1,0)+1</f>
        <v>46240</v>
      </c>
      <c r="H1410" s="17" t="s">
        <v>1526</v>
      </c>
      <c r="I1410">
        <f>_xlfn.XLOOKUP(H1410,Hoja1!H:H,Hoja1!G:G)</f>
        <v>2734</v>
      </c>
      <c r="J1410">
        <f>VLOOKUP(B1410,Hoja2!P:Q,2,0)</f>
        <v>7</v>
      </c>
      <c r="K1410" t="str">
        <f t="shared" si="16"/>
        <v>update formulario set id_categoria_formulario = 7 where id =2734;</v>
      </c>
    </row>
    <row r="1411" spans="1:11">
      <c r="A1411" s="18" t="s">
        <v>1354</v>
      </c>
      <c r="B1411" t="s">
        <v>1530</v>
      </c>
      <c r="C1411" t="s">
        <v>1531</v>
      </c>
      <c r="D1411" s="25">
        <v>46169</v>
      </c>
      <c r="E1411" s="25">
        <v>46178</v>
      </c>
      <c r="F1411" s="25">
        <v>46195</v>
      </c>
      <c r="G1411" s="24">
        <f t="shared" si="17"/>
        <v>46210</v>
      </c>
      <c r="H1411" s="17" t="s">
        <v>1527</v>
      </c>
      <c r="I1411">
        <f>_xlfn.XLOOKUP(H1411,Hoja1!H:H,Hoja1!G:G)</f>
        <v>2751</v>
      </c>
      <c r="J1411">
        <f>VLOOKUP(B1411,Hoja2!P:Q,2,0)</f>
        <v>4</v>
      </c>
      <c r="K1411" t="str">
        <f t="shared" si="16"/>
        <v>update formulario set id_categoria_formulario = 4 where id =2751;</v>
      </c>
    </row>
    <row r="1412" spans="1:11">
      <c r="A1412" s="18" t="s">
        <v>1354</v>
      </c>
      <c r="B1412" t="s">
        <v>1530</v>
      </c>
      <c r="C1412" t="s">
        <v>1531</v>
      </c>
      <c r="D1412" s="25">
        <v>46169</v>
      </c>
      <c r="E1412" s="25">
        <v>46178</v>
      </c>
      <c r="F1412" s="25">
        <v>46195</v>
      </c>
      <c r="G1412" s="24">
        <f t="shared" ref="G1412:G1424" si="18">WORKDAY.INTL(F1412,10,1,0)+1</f>
        <v>46210</v>
      </c>
      <c r="H1412" s="17" t="s">
        <v>1528</v>
      </c>
      <c r="I1412">
        <f>_xlfn.XLOOKUP(H1412,Hoja1!H:H,Hoja1!G:G)</f>
        <v>2750</v>
      </c>
      <c r="J1412">
        <f>VLOOKUP(B1412,Hoja2!P:Q,2,0)</f>
        <v>4</v>
      </c>
      <c r="K1412" t="str">
        <f t="shared" si="16"/>
        <v>update formulario set id_categoria_formulario = 4 where id =2750;</v>
      </c>
    </row>
    <row r="1413" spans="1:11">
      <c r="A1413" s="18" t="s">
        <v>1586</v>
      </c>
      <c r="B1413" t="s">
        <v>1366</v>
      </c>
      <c r="C1413" t="s">
        <v>1532</v>
      </c>
      <c r="D1413" s="25">
        <v>46169</v>
      </c>
      <c r="E1413" s="25">
        <v>46176</v>
      </c>
      <c r="F1413" s="25">
        <v>46225</v>
      </c>
      <c r="G1413" s="24">
        <f t="shared" si="18"/>
        <v>46240</v>
      </c>
      <c r="H1413" s="17" t="s">
        <v>1529</v>
      </c>
      <c r="I1413">
        <f>_xlfn.XLOOKUP(H1413,Hoja1!H:H,Hoja1!G:G)</f>
        <v>2752</v>
      </c>
      <c r="J1413">
        <f>VLOOKUP(B1413,Hoja2!P:Q,2,0)</f>
        <v>3</v>
      </c>
      <c r="K1413" t="str">
        <f t="shared" si="16"/>
        <v>update formulario set id_categoria_formulario = 3 where id =2752;</v>
      </c>
    </row>
    <row r="1414" spans="1:11" ht="17.25">
      <c r="A1414" s="18" t="s">
        <v>1586</v>
      </c>
      <c r="B1414" t="s">
        <v>1366</v>
      </c>
      <c r="C1414" t="s">
        <v>1532</v>
      </c>
      <c r="D1414" s="25">
        <v>46155</v>
      </c>
      <c r="E1414" s="25">
        <v>46176</v>
      </c>
      <c r="F1414" s="25">
        <v>46195</v>
      </c>
      <c r="G1414" s="24">
        <f t="shared" si="18"/>
        <v>46210</v>
      </c>
      <c r="H1414" s="32" t="s">
        <v>1576</v>
      </c>
      <c r="I1414">
        <f>_xlfn.XLOOKUP(H1414,Hoja1!H:H,Hoja1!G:G)</f>
        <v>2755</v>
      </c>
      <c r="J1414">
        <f>VLOOKUP(B1414,Hoja2!P:Q,2,0)</f>
        <v>3</v>
      </c>
      <c r="K1414" t="str">
        <f t="shared" si="16"/>
        <v>update formulario set id_categoria_formulario = 3 where id =2755;</v>
      </c>
    </row>
    <row r="1415" spans="1:11">
      <c r="A1415" s="18" t="s">
        <v>1586</v>
      </c>
      <c r="B1415" t="s">
        <v>1366</v>
      </c>
      <c r="C1415" t="s">
        <v>1466</v>
      </c>
      <c r="D1415" s="25">
        <v>46168</v>
      </c>
      <c r="E1415" s="25">
        <v>46185</v>
      </c>
      <c r="F1415" s="25">
        <v>46195</v>
      </c>
      <c r="G1415" s="24">
        <f t="shared" si="18"/>
        <v>46210</v>
      </c>
      <c r="H1415" s="17" t="s">
        <v>1533</v>
      </c>
      <c r="I1415">
        <f>_xlfn.XLOOKUP(H1415,Hoja1!H:H,Hoja1!G:G)</f>
        <v>2763</v>
      </c>
      <c r="J1415">
        <f>VLOOKUP(B1415,Hoja2!P:Q,2,0)</f>
        <v>3</v>
      </c>
      <c r="K1415" t="str">
        <f t="shared" si="16"/>
        <v>update formulario set id_categoria_formulario = 3 where id =2763;</v>
      </c>
    </row>
    <row r="1416" spans="1:11">
      <c r="A1416" s="18" t="s">
        <v>1586</v>
      </c>
      <c r="B1416" t="s">
        <v>1366</v>
      </c>
      <c r="C1416" t="s">
        <v>1537</v>
      </c>
      <c r="D1416" s="25">
        <v>46169</v>
      </c>
      <c r="E1416" s="25">
        <v>46190</v>
      </c>
      <c r="F1416" s="25">
        <v>46225</v>
      </c>
      <c r="G1416" s="24">
        <f t="shared" si="18"/>
        <v>46240</v>
      </c>
      <c r="H1416" s="17" t="s">
        <v>1534</v>
      </c>
      <c r="I1416">
        <f>_xlfn.XLOOKUP(H1416,Hoja1!H:H,Hoja1!G:G)</f>
        <v>2764</v>
      </c>
      <c r="J1416">
        <f>VLOOKUP(B1416,Hoja2!P:Q,2,0)</f>
        <v>3</v>
      </c>
      <c r="K1416" t="str">
        <f t="shared" si="16"/>
        <v>update formulario set id_categoria_formulario = 3 where id =2764;</v>
      </c>
    </row>
    <row r="1417" spans="1:11">
      <c r="A1417" s="18" t="s">
        <v>1586</v>
      </c>
      <c r="B1417" t="s">
        <v>1366</v>
      </c>
      <c r="C1417" t="s">
        <v>1466</v>
      </c>
      <c r="D1417" s="25">
        <v>46168</v>
      </c>
      <c r="E1417" s="25">
        <v>46185</v>
      </c>
      <c r="F1417" s="25">
        <v>46195</v>
      </c>
      <c r="G1417" s="24">
        <f t="shared" si="18"/>
        <v>46210</v>
      </c>
      <c r="H1417" s="17" t="s">
        <v>1535</v>
      </c>
      <c r="I1417">
        <f>_xlfn.XLOOKUP(H1417,Hoja1!H:H,Hoja1!G:G)</f>
        <v>2765</v>
      </c>
      <c r="J1417">
        <f>VLOOKUP(B1417,Hoja2!P:Q,2,0)</f>
        <v>3</v>
      </c>
      <c r="K1417" t="str">
        <f t="shared" si="16"/>
        <v>update formulario set id_categoria_formulario = 3 where id =2765;</v>
      </c>
    </row>
    <row r="1418" spans="1:11">
      <c r="A1418" s="18" t="s">
        <v>1586</v>
      </c>
      <c r="B1418" t="s">
        <v>1157</v>
      </c>
      <c r="C1418" t="s">
        <v>1538</v>
      </c>
      <c r="D1418" s="25">
        <v>46169</v>
      </c>
      <c r="E1418" s="25">
        <v>46190</v>
      </c>
      <c r="F1418" s="25">
        <v>46225</v>
      </c>
      <c r="G1418" s="24">
        <f t="shared" si="18"/>
        <v>46240</v>
      </c>
      <c r="H1418" s="17" t="s">
        <v>1536</v>
      </c>
      <c r="I1418">
        <f>_xlfn.XLOOKUP(H1418,Hoja1!H:H,Hoja1!G:G)</f>
        <v>2767</v>
      </c>
      <c r="J1418">
        <f>VLOOKUP(B1418,Hoja2!P:Q,2,0)</f>
        <v>5</v>
      </c>
      <c r="K1418" t="str">
        <f t="shared" si="16"/>
        <v>update formulario set id_categoria_formulario = 5 where id =2767;</v>
      </c>
    </row>
    <row r="1419" spans="1:11">
      <c r="A1419" s="18" t="s">
        <v>1586</v>
      </c>
      <c r="B1419" t="s">
        <v>1366</v>
      </c>
      <c r="C1419" t="s">
        <v>1532</v>
      </c>
      <c r="D1419" s="25">
        <v>46169</v>
      </c>
      <c r="E1419" s="25">
        <v>46176</v>
      </c>
      <c r="F1419" s="25">
        <v>46225</v>
      </c>
      <c r="G1419" s="24">
        <f t="shared" si="18"/>
        <v>46240</v>
      </c>
      <c r="H1419" s="17" t="s">
        <v>1539</v>
      </c>
      <c r="I1419">
        <f>_xlfn.XLOOKUP(H1419,Hoja1!H:H,Hoja1!G:G)</f>
        <v>2769</v>
      </c>
      <c r="J1419">
        <f>VLOOKUP(B1419,Hoja2!P:Q,2,0)</f>
        <v>3</v>
      </c>
      <c r="K1419" t="str">
        <f t="shared" si="16"/>
        <v>update formulario set id_categoria_formulario = 3 where id =2769;</v>
      </c>
    </row>
    <row r="1420" spans="1:11">
      <c r="A1420" s="18" t="s">
        <v>1586</v>
      </c>
      <c r="B1420" t="s">
        <v>1366</v>
      </c>
      <c r="C1420" t="s">
        <v>1532</v>
      </c>
      <c r="D1420" s="25">
        <v>46169</v>
      </c>
      <c r="E1420" s="25">
        <v>46176</v>
      </c>
      <c r="F1420" s="25">
        <v>46225</v>
      </c>
      <c r="G1420" s="24">
        <f t="shared" si="18"/>
        <v>46240</v>
      </c>
      <c r="H1420" s="17" t="s">
        <v>1540</v>
      </c>
      <c r="I1420">
        <f>_xlfn.XLOOKUP(H1420,Hoja1!H:H,Hoja1!G:G)</f>
        <v>2770</v>
      </c>
      <c r="J1420">
        <f>VLOOKUP(B1420,Hoja2!P:Q,2,0)</f>
        <v>3</v>
      </c>
      <c r="K1420" t="str">
        <f t="shared" si="16"/>
        <v>update formulario set id_categoria_formulario = 3 where id =2770;</v>
      </c>
    </row>
    <row r="1421" spans="1:11">
      <c r="A1421" s="18" t="s">
        <v>1586</v>
      </c>
      <c r="B1421" t="s">
        <v>1366</v>
      </c>
      <c r="C1421" t="s">
        <v>1532</v>
      </c>
      <c r="D1421" s="25">
        <v>46169</v>
      </c>
      <c r="E1421" s="25">
        <v>46176</v>
      </c>
      <c r="F1421" s="25">
        <v>46225</v>
      </c>
      <c r="G1421" s="24">
        <f t="shared" si="18"/>
        <v>46240</v>
      </c>
      <c r="H1421" s="17" t="s">
        <v>1541</v>
      </c>
      <c r="I1421">
        <f>_xlfn.XLOOKUP(H1421,Hoja1!H:H,Hoja1!G:G)</f>
        <v>2771</v>
      </c>
      <c r="J1421">
        <f>VLOOKUP(B1421,Hoja2!P:Q,2,0)</f>
        <v>3</v>
      </c>
      <c r="K1421" t="str">
        <f t="shared" si="16"/>
        <v>update formulario set id_categoria_formulario = 3 where id =2771;</v>
      </c>
    </row>
    <row r="1422" spans="1:11">
      <c r="A1422" s="18" t="s">
        <v>1494</v>
      </c>
      <c r="B1422" t="s">
        <v>1351</v>
      </c>
      <c r="C1422" t="s">
        <v>1544</v>
      </c>
      <c r="D1422" s="25">
        <v>46169</v>
      </c>
      <c r="E1422" s="25">
        <v>46185</v>
      </c>
      <c r="F1422" s="25">
        <v>46225</v>
      </c>
      <c r="G1422" s="24">
        <f t="shared" si="18"/>
        <v>46240</v>
      </c>
      <c r="H1422" s="17" t="s">
        <v>1542</v>
      </c>
      <c r="I1422">
        <f>_xlfn.XLOOKUP(H1422,Hoja1!H:H,Hoja1!G:G)</f>
        <v>2772</v>
      </c>
      <c r="J1422">
        <f>VLOOKUP(B1422,Hoja2!P:Q,2,0)</f>
        <v>6</v>
      </c>
      <c r="K1422" t="str">
        <f t="shared" si="16"/>
        <v>update formulario set id_categoria_formulario = 6 where id =2772;</v>
      </c>
    </row>
    <row r="1423" spans="1:11">
      <c r="A1423" s="18" t="s">
        <v>1494</v>
      </c>
      <c r="B1423" t="s">
        <v>1351</v>
      </c>
      <c r="C1423" t="s">
        <v>1544</v>
      </c>
      <c r="D1423" s="25">
        <v>46169</v>
      </c>
      <c r="E1423" s="25">
        <v>46185</v>
      </c>
      <c r="F1423" s="25">
        <v>46225</v>
      </c>
      <c r="G1423" s="24">
        <f t="shared" si="18"/>
        <v>46240</v>
      </c>
      <c r="H1423" s="17" t="s">
        <v>1543</v>
      </c>
      <c r="I1423">
        <f>_xlfn.XLOOKUP(H1423,Hoja1!H:H,Hoja1!G:G)</f>
        <v>2773</v>
      </c>
      <c r="J1423">
        <f>VLOOKUP(B1423,Hoja2!P:Q,2,0)</f>
        <v>6</v>
      </c>
      <c r="K1423" t="str">
        <f t="shared" si="16"/>
        <v>update formulario set id_categoria_formulario = 6 where id =2773;</v>
      </c>
    </row>
    <row r="1424" spans="1:11">
      <c r="A1424" s="18" t="s">
        <v>1494</v>
      </c>
      <c r="B1424" t="s">
        <v>1550</v>
      </c>
      <c r="C1424" t="s">
        <v>1551</v>
      </c>
      <c r="D1424" s="25">
        <v>46174</v>
      </c>
      <c r="E1424" s="25">
        <v>46188</v>
      </c>
      <c r="F1424" s="25">
        <v>46253</v>
      </c>
      <c r="G1424" s="24">
        <f t="shared" si="18"/>
        <v>46268</v>
      </c>
      <c r="H1424" s="17" t="s">
        <v>1545</v>
      </c>
      <c r="I1424">
        <f>_xlfn.XLOOKUP(H1424,Hoja1!H:H,Hoja1!G:G)</f>
        <v>2775</v>
      </c>
      <c r="J1424">
        <f>VLOOKUP(B1424,Hoja2!P:Q,2,0)</f>
        <v>12</v>
      </c>
      <c r="K1424" t="str">
        <f t="shared" si="16"/>
        <v>update formulario set id_categoria_formulario = 12 where id =2775;</v>
      </c>
    </row>
    <row r="1425" spans="1:11">
      <c r="A1425" s="18" t="s">
        <v>1494</v>
      </c>
      <c r="B1425" t="s">
        <v>1550</v>
      </c>
      <c r="C1425" t="s">
        <v>1551</v>
      </c>
      <c r="D1425" s="25">
        <v>46174</v>
      </c>
      <c r="E1425" s="25">
        <v>46188</v>
      </c>
      <c r="F1425" s="25">
        <v>46253</v>
      </c>
      <c r="G1425" s="24">
        <f t="shared" ref="G1425:G1426" si="19">WORKDAY.INTL(F1425,10,1,0)+1</f>
        <v>46268</v>
      </c>
      <c r="H1425" s="17" t="s">
        <v>1546</v>
      </c>
      <c r="I1425">
        <f>_xlfn.XLOOKUP(H1425,Hoja1!H:H,Hoja1!G:G)</f>
        <v>2776</v>
      </c>
      <c r="J1425">
        <f>VLOOKUP(B1425,Hoja2!P:Q,2,0)</f>
        <v>12</v>
      </c>
      <c r="K1425" t="str">
        <f t="shared" si="16"/>
        <v>update formulario set id_categoria_formulario = 12 where id =2776;</v>
      </c>
    </row>
    <row r="1426" spans="1:11">
      <c r="A1426" s="18" t="s">
        <v>1494</v>
      </c>
      <c r="B1426" t="s">
        <v>1357</v>
      </c>
      <c r="C1426" t="s">
        <v>1552</v>
      </c>
      <c r="D1426" s="25">
        <v>46169</v>
      </c>
      <c r="E1426" s="25">
        <v>46188</v>
      </c>
      <c r="F1426" s="25">
        <v>46225</v>
      </c>
      <c r="G1426" s="24">
        <f t="shared" si="19"/>
        <v>46240</v>
      </c>
      <c r="H1426" s="17" t="s">
        <v>1547</v>
      </c>
      <c r="I1426">
        <f>_xlfn.XLOOKUP(H1426,Hoja1!H:H,Hoja1!G:G)</f>
        <v>2778</v>
      </c>
      <c r="J1426">
        <f>VLOOKUP(B1426,Hoja2!P:Q,2,0)</f>
        <v>7</v>
      </c>
      <c r="K1426" t="str">
        <f t="shared" si="16"/>
        <v>update formulario set id_categoria_formulario = 7 where id =2778;</v>
      </c>
    </row>
    <row r="1427" spans="1:11">
      <c r="A1427" s="18" t="s">
        <v>1494</v>
      </c>
      <c r="B1427" t="s">
        <v>1357</v>
      </c>
      <c r="C1427" t="s">
        <v>1552</v>
      </c>
      <c r="D1427" s="25">
        <v>46169</v>
      </c>
      <c r="E1427" s="25">
        <v>46188</v>
      </c>
      <c r="F1427" s="25">
        <v>46225</v>
      </c>
      <c r="G1427" s="24">
        <f t="shared" ref="G1427:G1432" si="20">WORKDAY.INTL(F1427,10,1,0)+1</f>
        <v>46240</v>
      </c>
      <c r="H1427" s="17" t="s">
        <v>1548</v>
      </c>
      <c r="I1427">
        <f>_xlfn.XLOOKUP(H1427,Hoja1!H:H,Hoja1!G:G)</f>
        <v>2779</v>
      </c>
      <c r="J1427">
        <f>VLOOKUP(B1427,Hoja2!P:Q,2,0)</f>
        <v>7</v>
      </c>
      <c r="K1427" t="str">
        <f t="shared" si="16"/>
        <v>update formulario set id_categoria_formulario = 7 where id =2779;</v>
      </c>
    </row>
    <row r="1428" spans="1:11">
      <c r="A1428" s="18" t="s">
        <v>1586</v>
      </c>
      <c r="B1428" t="s">
        <v>1366</v>
      </c>
      <c r="C1428" t="s">
        <v>1553</v>
      </c>
      <c r="D1428" s="25">
        <v>46182</v>
      </c>
      <c r="E1428" s="25">
        <v>46185</v>
      </c>
      <c r="F1428" s="25">
        <v>46193</v>
      </c>
      <c r="G1428" s="24">
        <f t="shared" si="20"/>
        <v>46207</v>
      </c>
      <c r="H1428" s="17" t="s">
        <v>1549</v>
      </c>
      <c r="I1428">
        <f>_xlfn.XLOOKUP(H1428,Hoja1!H:H,Hoja1!G:G)</f>
        <v>2782</v>
      </c>
      <c r="J1428">
        <f>VLOOKUP(B1428,Hoja2!P:Q,2,0)</f>
        <v>3</v>
      </c>
      <c r="K1428" t="str">
        <f t="shared" si="16"/>
        <v>update formulario set id_categoria_formulario = 3 where id =2782;</v>
      </c>
    </row>
    <row r="1429" spans="1:11">
      <c r="A1429" s="18" t="s">
        <v>1494</v>
      </c>
      <c r="B1429" t="s">
        <v>1550</v>
      </c>
      <c r="C1429" t="s">
        <v>1551</v>
      </c>
      <c r="D1429" s="25">
        <v>46175</v>
      </c>
      <c r="F1429" s="25">
        <v>46252</v>
      </c>
      <c r="G1429" s="24">
        <f t="shared" si="20"/>
        <v>46267</v>
      </c>
      <c r="H1429" s="17" t="s">
        <v>1554</v>
      </c>
      <c r="I1429">
        <f>_xlfn.XLOOKUP(H1429,Hoja1!H:H,Hoja1!G:G)</f>
        <v>2793</v>
      </c>
      <c r="J1429">
        <f>VLOOKUP(B1429,Hoja2!P:Q,2,0)</f>
        <v>12</v>
      </c>
      <c r="K1429" t="str">
        <f t="shared" si="16"/>
        <v>update formulario set id_categoria_formulario = 12 where id =2793;</v>
      </c>
    </row>
    <row r="1430" spans="1:11">
      <c r="A1430" s="18" t="s">
        <v>1494</v>
      </c>
      <c r="B1430" t="s">
        <v>1550</v>
      </c>
      <c r="C1430" t="s">
        <v>1551</v>
      </c>
      <c r="D1430" s="25">
        <v>46175</v>
      </c>
      <c r="F1430" s="25">
        <v>46252</v>
      </c>
      <c r="G1430" s="24">
        <f t="shared" si="20"/>
        <v>46267</v>
      </c>
      <c r="H1430" s="17" t="s">
        <v>1555</v>
      </c>
      <c r="I1430">
        <f>_xlfn.XLOOKUP(H1430,Hoja1!H:H,Hoja1!G:G)</f>
        <v>2794</v>
      </c>
      <c r="J1430">
        <f>VLOOKUP(B1430,Hoja2!P:Q,2,0)</f>
        <v>12</v>
      </c>
      <c r="K1430" t="str">
        <f t="shared" si="16"/>
        <v>update formulario set id_categoria_formulario = 12 where id =2794;</v>
      </c>
    </row>
    <row r="1431" spans="1:11">
      <c r="A1431" s="18" t="s">
        <v>1354</v>
      </c>
      <c r="B1431" t="s">
        <v>1520</v>
      </c>
      <c r="C1431" t="s">
        <v>1556</v>
      </c>
      <c r="D1431" s="25">
        <v>46155</v>
      </c>
      <c r="E1431" s="25">
        <v>46162</v>
      </c>
      <c r="F1431" s="25">
        <v>46196</v>
      </c>
      <c r="G1431" s="24">
        <f t="shared" si="20"/>
        <v>46211</v>
      </c>
      <c r="H1431" s="17" t="s">
        <v>1557</v>
      </c>
      <c r="I1431">
        <f>_xlfn.XLOOKUP(H1431,Hoja1!H:H,Hoja1!G:G)</f>
        <v>2807</v>
      </c>
      <c r="J1431">
        <f>VLOOKUP(B1431,Hoja2!P:Q,2,0)</f>
        <v>13</v>
      </c>
      <c r="K1431" t="str">
        <f t="shared" si="16"/>
        <v>update formulario set id_categoria_formulario = 13 where id =2807;</v>
      </c>
    </row>
    <row r="1432" spans="1:11">
      <c r="A1432" s="18" t="s">
        <v>1494</v>
      </c>
      <c r="B1432" t="s">
        <v>1558</v>
      </c>
      <c r="C1432" t="s">
        <v>1559</v>
      </c>
      <c r="D1432" s="25">
        <v>46188</v>
      </c>
      <c r="E1432" s="25">
        <v>46230</v>
      </c>
      <c r="F1432" s="25">
        <v>46194</v>
      </c>
      <c r="G1432" s="24">
        <f t="shared" si="20"/>
        <v>46207</v>
      </c>
      <c r="H1432" s="17" t="s">
        <v>1560</v>
      </c>
      <c r="I1432">
        <f>_xlfn.XLOOKUP(H1432,Hoja1!H:H,Hoja1!G:G)</f>
        <v>2810</v>
      </c>
      <c r="J1432">
        <f>VLOOKUP(B1432,Hoja2!P:Q,2,0)</f>
        <v>14</v>
      </c>
      <c r="K1432" t="str">
        <f t="shared" si="16"/>
        <v>update formulario set id_categoria_formulario = 14 where id =2810;</v>
      </c>
    </row>
    <row r="1433" spans="1:11">
      <c r="A1433" s="18" t="s">
        <v>1494</v>
      </c>
      <c r="B1433" t="s">
        <v>1558</v>
      </c>
      <c r="C1433" t="s">
        <v>1559</v>
      </c>
      <c r="D1433" s="25">
        <v>46188</v>
      </c>
      <c r="E1433" s="25">
        <v>46230</v>
      </c>
      <c r="F1433" s="25">
        <v>46194</v>
      </c>
      <c r="G1433" s="24">
        <f t="shared" ref="G1433:G1449" si="21">WORKDAY.INTL(F1433,10,1,0)+1</f>
        <v>46207</v>
      </c>
      <c r="H1433" s="17" t="s">
        <v>1561</v>
      </c>
      <c r="I1433">
        <f>_xlfn.XLOOKUP(H1433,Hoja1!H:H,Hoja1!G:G)</f>
        <v>2811</v>
      </c>
      <c r="J1433">
        <f>VLOOKUP(B1433,Hoja2!P:Q,2,0)</f>
        <v>14</v>
      </c>
      <c r="K1433" t="str">
        <f t="shared" si="16"/>
        <v>update formulario set id_categoria_formulario = 14 where id =2811;</v>
      </c>
    </row>
    <row r="1434" spans="1:11">
      <c r="A1434" s="18" t="s">
        <v>1354</v>
      </c>
      <c r="B1434" t="s">
        <v>1563</v>
      </c>
      <c r="C1434" t="s">
        <v>1564</v>
      </c>
      <c r="D1434" s="25">
        <v>46197</v>
      </c>
      <c r="E1434" s="25">
        <v>46203</v>
      </c>
      <c r="F1434" s="25">
        <v>46288</v>
      </c>
      <c r="G1434" s="24">
        <f t="shared" si="21"/>
        <v>46303</v>
      </c>
      <c r="H1434" s="17" t="s">
        <v>1562</v>
      </c>
      <c r="I1434">
        <f>_xlfn.XLOOKUP(H1434,Hoja1!H:H,Hoja1!G:G)</f>
        <v>2812</v>
      </c>
      <c r="J1434">
        <f>VLOOKUP(B1434,Hoja2!P:Q,2,0)</f>
        <v>15</v>
      </c>
      <c r="K1434" t="str">
        <f t="shared" si="16"/>
        <v>update formulario set id_categoria_formulario = 15 where id =2812;</v>
      </c>
    </row>
    <row r="1435" spans="1:11">
      <c r="A1435" s="18" t="s">
        <v>1494</v>
      </c>
      <c r="B1435" t="s">
        <v>1550</v>
      </c>
      <c r="C1435" t="s">
        <v>1551</v>
      </c>
      <c r="D1435" s="25">
        <v>46169</v>
      </c>
      <c r="E1435" s="25">
        <v>46199</v>
      </c>
      <c r="F1435" s="25">
        <v>46253</v>
      </c>
      <c r="G1435" s="24">
        <f t="shared" si="21"/>
        <v>46268</v>
      </c>
      <c r="H1435" s="17" t="s">
        <v>1565</v>
      </c>
      <c r="I1435">
        <f>_xlfn.XLOOKUP(H1435,Hoja1!H:H,Hoja1!G:G)</f>
        <v>2815</v>
      </c>
      <c r="J1435">
        <f>VLOOKUP(B1435,Hoja2!P:Q,2,0)</f>
        <v>12</v>
      </c>
      <c r="K1435" t="str">
        <f t="shared" si="16"/>
        <v>update formulario set id_categoria_formulario = 12 where id =2815;</v>
      </c>
    </row>
    <row r="1436" spans="1:11">
      <c r="A1436" s="18" t="s">
        <v>1354</v>
      </c>
      <c r="B1436" t="s">
        <v>1520</v>
      </c>
      <c r="C1436" t="s">
        <v>1635</v>
      </c>
      <c r="D1436" s="25">
        <v>46196</v>
      </c>
      <c r="E1436" s="25">
        <v>46203</v>
      </c>
      <c r="F1436" s="25">
        <v>46231</v>
      </c>
      <c r="G1436" s="24">
        <f t="shared" si="21"/>
        <v>46246</v>
      </c>
      <c r="H1436" t="s">
        <v>1580</v>
      </c>
    </row>
    <row r="1437" spans="1:11">
      <c r="A1437" s="18" t="s">
        <v>1494</v>
      </c>
      <c r="B1437" t="s">
        <v>1550</v>
      </c>
      <c r="C1437" t="s">
        <v>1551</v>
      </c>
      <c r="D1437" s="25">
        <v>46174</v>
      </c>
      <c r="E1437" s="25">
        <v>46199</v>
      </c>
      <c r="F1437" s="25">
        <v>46253</v>
      </c>
      <c r="G1437" s="24">
        <f t="shared" si="21"/>
        <v>46268</v>
      </c>
      <c r="H1437" t="s">
        <v>1582</v>
      </c>
    </row>
    <row r="1438" spans="1:11">
      <c r="A1438" s="18" t="s">
        <v>1586</v>
      </c>
      <c r="B1438" t="s">
        <v>1366</v>
      </c>
      <c r="C1438" t="s">
        <v>1637</v>
      </c>
      <c r="D1438" s="25">
        <v>46197</v>
      </c>
      <c r="E1438" s="25">
        <v>46205</v>
      </c>
      <c r="F1438" s="25">
        <v>46287</v>
      </c>
      <c r="G1438" s="24">
        <f t="shared" si="21"/>
        <v>46302</v>
      </c>
      <c r="H1438" t="s">
        <v>1581</v>
      </c>
    </row>
    <row r="1439" spans="1:11">
      <c r="A1439" s="18" t="s">
        <v>1494</v>
      </c>
      <c r="B1439" t="s">
        <v>1357</v>
      </c>
      <c r="C1439" t="s">
        <v>1636</v>
      </c>
      <c r="D1439" s="25">
        <v>46204</v>
      </c>
      <c r="E1439" s="25">
        <v>46218</v>
      </c>
      <c r="F1439" s="25">
        <v>46223</v>
      </c>
      <c r="G1439" s="24">
        <f t="shared" si="21"/>
        <v>46238</v>
      </c>
      <c r="H1439" t="s">
        <v>1583</v>
      </c>
    </row>
    <row r="1440" spans="1:11">
      <c r="A1440" s="18" t="s">
        <v>1494</v>
      </c>
      <c r="B1440" t="s">
        <v>1357</v>
      </c>
      <c r="C1440" t="s">
        <v>1552</v>
      </c>
      <c r="D1440" s="25">
        <v>46169</v>
      </c>
      <c r="F1440" s="25">
        <v>46225</v>
      </c>
      <c r="G1440" s="24">
        <f t="shared" si="21"/>
        <v>46240</v>
      </c>
      <c r="H1440" t="s">
        <v>1579</v>
      </c>
    </row>
    <row r="1441" spans="1:8">
      <c r="A1441" s="18" t="s">
        <v>1494</v>
      </c>
      <c r="B1441" t="s">
        <v>1558</v>
      </c>
      <c r="C1441" t="s">
        <v>1641</v>
      </c>
      <c r="D1441" s="25">
        <v>46204</v>
      </c>
      <c r="F1441" s="25">
        <v>46234</v>
      </c>
      <c r="G1441" s="24">
        <f t="shared" si="21"/>
        <v>46249</v>
      </c>
      <c r="H1441" t="s">
        <v>1612</v>
      </c>
    </row>
    <row r="1442" spans="1:8">
      <c r="A1442" s="18" t="s">
        <v>1494</v>
      </c>
      <c r="B1442" t="s">
        <v>1558</v>
      </c>
      <c r="C1442" t="s">
        <v>1641</v>
      </c>
      <c r="D1442" s="25">
        <v>46204</v>
      </c>
      <c r="F1442" s="25">
        <v>46234</v>
      </c>
      <c r="G1442" s="24">
        <f t="shared" si="21"/>
        <v>46249</v>
      </c>
      <c r="H1442" t="s">
        <v>1613</v>
      </c>
    </row>
    <row r="1443" spans="1:8">
      <c r="A1443" s="18" t="s">
        <v>1494</v>
      </c>
      <c r="B1443" t="s">
        <v>1558</v>
      </c>
      <c r="C1443" t="s">
        <v>1642</v>
      </c>
      <c r="D1443" s="25">
        <v>46204</v>
      </c>
      <c r="F1443" s="25">
        <v>46234</v>
      </c>
      <c r="G1443" s="24">
        <f t="shared" si="21"/>
        <v>46249</v>
      </c>
      <c r="H1443" t="s">
        <v>1614</v>
      </c>
    </row>
    <row r="1444" spans="1:8">
      <c r="A1444" s="18" t="s">
        <v>1494</v>
      </c>
      <c r="B1444" t="s">
        <v>1558</v>
      </c>
      <c r="C1444" t="s">
        <v>1643</v>
      </c>
      <c r="D1444" s="25">
        <v>46204</v>
      </c>
      <c r="F1444" s="25">
        <v>46234</v>
      </c>
      <c r="G1444" s="24">
        <f t="shared" si="21"/>
        <v>46249</v>
      </c>
      <c r="H1444" t="s">
        <v>1615</v>
      </c>
    </row>
    <row r="1445" spans="1:8">
      <c r="A1445" s="18" t="s">
        <v>1494</v>
      </c>
      <c r="B1445" t="s">
        <v>1558</v>
      </c>
      <c r="C1445" t="s">
        <v>1643</v>
      </c>
      <c r="D1445" s="25">
        <v>46204</v>
      </c>
      <c r="F1445" s="25">
        <v>46234</v>
      </c>
      <c r="G1445" s="24">
        <f t="shared" si="21"/>
        <v>46249</v>
      </c>
      <c r="H1445" t="s">
        <v>1616</v>
      </c>
    </row>
    <row r="1446" spans="1:8">
      <c r="A1446" s="18" t="s">
        <v>1494</v>
      </c>
      <c r="B1446" t="s">
        <v>1558</v>
      </c>
      <c r="C1446" t="s">
        <v>1644</v>
      </c>
      <c r="D1446" s="25">
        <v>46204</v>
      </c>
      <c r="F1446" s="25">
        <v>46234</v>
      </c>
      <c r="G1446" s="24">
        <f t="shared" si="21"/>
        <v>46249</v>
      </c>
      <c r="H1446" t="s">
        <v>1617</v>
      </c>
    </row>
    <row r="1447" spans="1:8">
      <c r="A1447" s="18" t="s">
        <v>1354</v>
      </c>
      <c r="B1447" t="s">
        <v>1645</v>
      </c>
      <c r="C1447" t="s">
        <v>1646</v>
      </c>
      <c r="D1447" s="25">
        <v>46231</v>
      </c>
      <c r="E1447" s="25">
        <v>46234</v>
      </c>
      <c r="F1447" s="25">
        <v>46258</v>
      </c>
      <c r="G1447" s="24">
        <f t="shared" si="21"/>
        <v>46273</v>
      </c>
      <c r="H1447" t="s">
        <v>1618</v>
      </c>
    </row>
    <row r="1448" spans="1:8">
      <c r="A1448" s="18" t="s">
        <v>1494</v>
      </c>
      <c r="B1448" t="s">
        <v>1558</v>
      </c>
      <c r="C1448" t="s">
        <v>1638</v>
      </c>
      <c r="D1448" s="25">
        <v>46218</v>
      </c>
      <c r="E1448" s="25">
        <v>46228</v>
      </c>
      <c r="F1448" s="25">
        <v>46263</v>
      </c>
      <c r="G1448" s="24">
        <f t="shared" si="21"/>
        <v>46277</v>
      </c>
      <c r="H1448" t="s">
        <v>1619</v>
      </c>
    </row>
    <row r="1449" spans="1:8">
      <c r="A1449" s="18" t="s">
        <v>1586</v>
      </c>
      <c r="B1449" t="s">
        <v>1157</v>
      </c>
      <c r="C1449" t="s">
        <v>1647</v>
      </c>
      <c r="D1449" s="25">
        <v>46226</v>
      </c>
      <c r="E1449" s="25">
        <v>46234</v>
      </c>
      <c r="F1449" s="25">
        <v>46243</v>
      </c>
      <c r="G1449" s="24">
        <f t="shared" si="21"/>
        <v>46256</v>
      </c>
      <c r="H1449" t="s">
        <v>1620</v>
      </c>
    </row>
    <row r="1450" spans="1:8">
      <c r="A1450" s="18" t="s">
        <v>1586</v>
      </c>
      <c r="B1450" t="s">
        <v>1157</v>
      </c>
      <c r="C1450" t="s">
        <v>1647</v>
      </c>
      <c r="D1450" s="25">
        <v>46226</v>
      </c>
      <c r="E1450" s="25">
        <v>46234</v>
      </c>
      <c r="F1450" s="25">
        <v>46243</v>
      </c>
      <c r="G1450" s="24">
        <f t="shared" ref="G1450:G1453" si="22">WORKDAY.INTL(F1450,10,1,0)+1</f>
        <v>46256</v>
      </c>
      <c r="H1450" t="s">
        <v>1621</v>
      </c>
    </row>
    <row r="1451" spans="1:8">
      <c r="A1451" s="18" t="s">
        <v>1586</v>
      </c>
      <c r="B1451" t="s">
        <v>1366</v>
      </c>
      <c r="C1451" t="s">
        <v>1648</v>
      </c>
      <c r="D1451" s="25">
        <v>46226</v>
      </c>
      <c r="E1451" s="25">
        <v>46233</v>
      </c>
      <c r="F1451" s="25">
        <v>46243</v>
      </c>
      <c r="G1451" s="24">
        <f t="shared" si="22"/>
        <v>46256</v>
      </c>
      <c r="H1451" t="s">
        <v>1622</v>
      </c>
    </row>
    <row r="1452" spans="1:8">
      <c r="A1452" s="18" t="s">
        <v>1354</v>
      </c>
      <c r="B1452" t="s">
        <v>1645</v>
      </c>
      <c r="C1452" t="s">
        <v>1649</v>
      </c>
      <c r="D1452" s="25">
        <v>46231</v>
      </c>
      <c r="E1452" s="25">
        <v>46293</v>
      </c>
      <c r="F1452" s="25">
        <v>46288</v>
      </c>
      <c r="G1452" s="24">
        <f t="shared" si="22"/>
        <v>46303</v>
      </c>
      <c r="H1452" t="s">
        <v>1623</v>
      </c>
    </row>
    <row r="1453" spans="1:8">
      <c r="A1453" s="18" t="s">
        <v>1494</v>
      </c>
      <c r="B1453" t="s">
        <v>1558</v>
      </c>
      <c r="C1453" t="s">
        <v>1650</v>
      </c>
      <c r="D1453" s="25">
        <v>46231</v>
      </c>
      <c r="E1453" s="25">
        <v>46236</v>
      </c>
      <c r="F1453" s="25">
        <v>46258</v>
      </c>
      <c r="G1453" s="24">
        <f t="shared" si="22"/>
        <v>46273</v>
      </c>
      <c r="H1453" t="s">
        <v>1624</v>
      </c>
    </row>
    <row r="1454" spans="1:8">
      <c r="A1454" s="18" t="s">
        <v>1494</v>
      </c>
      <c r="B1454" t="s">
        <v>1558</v>
      </c>
      <c r="C1454" t="s">
        <v>1650</v>
      </c>
      <c r="D1454" s="25">
        <v>46231</v>
      </c>
      <c r="E1454" s="25">
        <v>46236</v>
      </c>
      <c r="F1454" s="25">
        <v>46258</v>
      </c>
      <c r="G1454" s="24">
        <f t="shared" ref="G1454" si="23">WORKDAY.INTL(F1454,10,1,0)+1</f>
        <v>46273</v>
      </c>
      <c r="H1454" t="s">
        <v>1625</v>
      </c>
    </row>
    <row r="1455" spans="1:8">
      <c r="A1455" s="18" t="s">
        <v>1354</v>
      </c>
      <c r="B1455" t="s">
        <v>1645</v>
      </c>
      <c r="C1455" t="s">
        <v>1649</v>
      </c>
      <c r="D1455" s="25">
        <v>46231</v>
      </c>
      <c r="E1455" s="25">
        <v>46293</v>
      </c>
      <c r="F1455" s="25">
        <v>46288</v>
      </c>
      <c r="G1455" s="24">
        <f t="shared" ref="G1455:G1456" si="24">WORKDAY.INTL(F1455,10,1,0)+1</f>
        <v>46303</v>
      </c>
      <c r="H1455" t="s">
        <v>1626</v>
      </c>
    </row>
    <row r="1456" spans="1:8">
      <c r="A1456" s="18" t="s">
        <v>1586</v>
      </c>
      <c r="B1456" t="s">
        <v>1157</v>
      </c>
      <c r="C1456" t="s">
        <v>1639</v>
      </c>
      <c r="D1456" s="25">
        <v>46218</v>
      </c>
      <c r="E1456" s="25">
        <v>46231</v>
      </c>
      <c r="F1456" s="25">
        <v>46280</v>
      </c>
      <c r="G1456" s="24">
        <f t="shared" si="24"/>
        <v>46295</v>
      </c>
      <c r="H1456" t="s">
        <v>1627</v>
      </c>
    </row>
    <row r="1457" spans="1:8">
      <c r="A1457" s="18" t="s">
        <v>1586</v>
      </c>
      <c r="B1457" t="s">
        <v>1157</v>
      </c>
      <c r="C1457" t="s">
        <v>1639</v>
      </c>
      <c r="D1457" s="25">
        <v>46218</v>
      </c>
      <c r="E1457" s="25">
        <v>46231</v>
      </c>
      <c r="F1457" s="25">
        <v>46280</v>
      </c>
      <c r="G1457" s="24">
        <f t="shared" ref="G1457:G1460" si="25">WORKDAY.INTL(F1457,10,1,0)+1</f>
        <v>46295</v>
      </c>
      <c r="H1457" t="s">
        <v>1628</v>
      </c>
    </row>
    <row r="1458" spans="1:8">
      <c r="A1458" s="18" t="s">
        <v>1586</v>
      </c>
      <c r="B1458" t="s">
        <v>1157</v>
      </c>
      <c r="C1458" t="s">
        <v>1639</v>
      </c>
      <c r="D1458" s="25">
        <v>46218</v>
      </c>
      <c r="E1458" s="25">
        <v>46231</v>
      </c>
      <c r="F1458" s="25">
        <v>46280</v>
      </c>
      <c r="G1458" s="24">
        <f t="shared" si="25"/>
        <v>46295</v>
      </c>
      <c r="H1458" t="s">
        <v>1629</v>
      </c>
    </row>
    <row r="1459" spans="1:8">
      <c r="A1459" s="18" t="s">
        <v>1586</v>
      </c>
      <c r="B1459" t="s">
        <v>1157</v>
      </c>
      <c r="C1459" t="s">
        <v>1639</v>
      </c>
      <c r="D1459" s="25">
        <v>46218</v>
      </c>
      <c r="E1459" s="25">
        <v>46231</v>
      </c>
      <c r="F1459" s="25">
        <v>46280</v>
      </c>
      <c r="G1459" s="24">
        <f t="shared" si="25"/>
        <v>46295</v>
      </c>
      <c r="H1459" t="s">
        <v>1630</v>
      </c>
    </row>
    <row r="1460" spans="1:8">
      <c r="A1460" s="18" t="s">
        <v>1586</v>
      </c>
      <c r="B1460" t="s">
        <v>1366</v>
      </c>
      <c r="C1460" t="s">
        <v>1640</v>
      </c>
      <c r="D1460" s="25">
        <v>46188</v>
      </c>
      <c r="E1460" s="25">
        <v>46237</v>
      </c>
      <c r="F1460" s="25">
        <v>46387</v>
      </c>
      <c r="G1460" s="24">
        <f t="shared" si="25"/>
        <v>46402</v>
      </c>
      <c r="H1460" t="s">
        <v>1631</v>
      </c>
    </row>
    <row r="1461" spans="1:8">
      <c r="A1461" s="18" t="s">
        <v>1586</v>
      </c>
      <c r="B1461" t="s">
        <v>1366</v>
      </c>
      <c r="C1461" t="s">
        <v>1640</v>
      </c>
      <c r="D1461" s="25">
        <v>46188</v>
      </c>
      <c r="E1461" s="25">
        <v>46237</v>
      </c>
      <c r="F1461" s="25">
        <v>46387</v>
      </c>
      <c r="G1461" s="24">
        <f t="shared" ref="G1461:G1477" si="26">WORKDAY.INTL(F1461,10,1,0)+1</f>
        <v>46402</v>
      </c>
      <c r="H1461" t="s">
        <v>1632</v>
      </c>
    </row>
    <row r="1462" spans="1:8">
      <c r="A1462" s="18" t="s">
        <v>1586</v>
      </c>
      <c r="B1462" t="s">
        <v>1366</v>
      </c>
      <c r="C1462" t="s">
        <v>1640</v>
      </c>
      <c r="D1462" s="25">
        <v>46188</v>
      </c>
      <c r="E1462" s="25">
        <v>46237</v>
      </c>
      <c r="F1462" s="25">
        <v>46387</v>
      </c>
      <c r="G1462" s="24">
        <f t="shared" si="26"/>
        <v>46402</v>
      </c>
      <c r="H1462" t="s">
        <v>1633</v>
      </c>
    </row>
    <row r="1463" spans="1:8">
      <c r="A1463" s="18" t="s">
        <v>1586</v>
      </c>
      <c r="B1463" t="s">
        <v>1366</v>
      </c>
      <c r="C1463" t="s">
        <v>1640</v>
      </c>
      <c r="D1463" s="25">
        <v>46188</v>
      </c>
      <c r="E1463" s="25">
        <v>46237</v>
      </c>
      <c r="F1463" s="25">
        <v>46387</v>
      </c>
      <c r="G1463" s="24">
        <f t="shared" si="26"/>
        <v>46402</v>
      </c>
      <c r="H1463" t="s">
        <v>1634</v>
      </c>
    </row>
    <row r="1464" spans="1:8">
      <c r="A1464" s="18" t="s">
        <v>1586</v>
      </c>
      <c r="B1464" t="s">
        <v>1366</v>
      </c>
      <c r="C1464" t="s">
        <v>1640</v>
      </c>
      <c r="D1464" s="25">
        <v>46230</v>
      </c>
      <c r="E1464" s="25">
        <v>46234</v>
      </c>
      <c r="F1464" s="25">
        <v>46251</v>
      </c>
      <c r="G1464" s="24">
        <f t="shared" si="26"/>
        <v>46266</v>
      </c>
      <c r="H1464" t="s">
        <v>1651</v>
      </c>
    </row>
    <row r="1465" spans="1:8">
      <c r="A1465" s="18" t="s">
        <v>1586</v>
      </c>
      <c r="B1465" t="s">
        <v>1157</v>
      </c>
      <c r="C1465" t="s">
        <v>1639</v>
      </c>
      <c r="D1465" s="25">
        <v>46231</v>
      </c>
      <c r="E1465" s="25">
        <v>46241</v>
      </c>
      <c r="F1465" s="25">
        <v>46258</v>
      </c>
      <c r="G1465" s="24">
        <f t="shared" si="26"/>
        <v>46273</v>
      </c>
      <c r="H1465" t="s">
        <v>1652</v>
      </c>
    </row>
    <row r="1466" spans="1:8">
      <c r="A1466" s="18" t="s">
        <v>1586</v>
      </c>
      <c r="B1466" t="s">
        <v>1157</v>
      </c>
      <c r="C1466" t="s">
        <v>1639</v>
      </c>
      <c r="D1466" s="25">
        <v>46231</v>
      </c>
      <c r="E1466" s="25">
        <v>46241</v>
      </c>
      <c r="F1466" s="25">
        <v>46258</v>
      </c>
      <c r="G1466" s="24">
        <f t="shared" si="26"/>
        <v>46273</v>
      </c>
      <c r="H1466" t="s">
        <v>1653</v>
      </c>
    </row>
    <row r="1467" spans="1:8">
      <c r="A1467" s="18" t="s">
        <v>1354</v>
      </c>
      <c r="B1467" t="s">
        <v>1645</v>
      </c>
      <c r="C1467" t="s">
        <v>1654</v>
      </c>
      <c r="D1467" s="25">
        <v>46232</v>
      </c>
      <c r="E1467" s="25">
        <v>46238</v>
      </c>
      <c r="F1467" s="25">
        <v>46289</v>
      </c>
      <c r="G1467" s="24">
        <f t="shared" si="26"/>
        <v>46304</v>
      </c>
      <c r="H1467" t="s">
        <v>1655</v>
      </c>
    </row>
    <row r="1468" spans="1:8">
      <c r="A1468" s="18" t="s">
        <v>1354</v>
      </c>
      <c r="B1468" t="s">
        <v>1495</v>
      </c>
      <c r="C1468" t="s">
        <v>1564</v>
      </c>
      <c r="D1468" s="25">
        <v>46239</v>
      </c>
      <c r="E1468" s="25">
        <v>46248</v>
      </c>
      <c r="F1468" s="25">
        <v>46287</v>
      </c>
      <c r="G1468" s="24">
        <f t="shared" si="26"/>
        <v>46302</v>
      </c>
      <c r="H1468" t="s">
        <v>1656</v>
      </c>
    </row>
    <row r="1469" spans="1:8">
      <c r="A1469" s="18" t="s">
        <v>1586</v>
      </c>
      <c r="B1469" t="s">
        <v>1157</v>
      </c>
      <c r="C1469" t="s">
        <v>1639</v>
      </c>
      <c r="D1469" s="25">
        <v>46244</v>
      </c>
      <c r="E1469" s="25">
        <v>46251</v>
      </c>
      <c r="F1469" s="25">
        <v>46275</v>
      </c>
      <c r="G1469" s="24">
        <f t="shared" si="26"/>
        <v>46290</v>
      </c>
      <c r="H1469" t="s">
        <v>1657</v>
      </c>
    </row>
    <row r="1470" spans="1:8">
      <c r="A1470" s="18" t="s">
        <v>1586</v>
      </c>
      <c r="B1470" t="s">
        <v>1157</v>
      </c>
      <c r="C1470" t="s">
        <v>1639</v>
      </c>
      <c r="D1470" s="25">
        <v>46244</v>
      </c>
      <c r="E1470" s="25">
        <v>46251</v>
      </c>
      <c r="F1470" s="25">
        <v>46275</v>
      </c>
      <c r="G1470" s="24">
        <f t="shared" si="26"/>
        <v>46290</v>
      </c>
      <c r="H1470" t="s">
        <v>1658</v>
      </c>
    </row>
    <row r="1471" spans="1:8">
      <c r="A1471" s="18" t="s">
        <v>1586</v>
      </c>
      <c r="B1471" t="s">
        <v>1157</v>
      </c>
      <c r="C1471" t="s">
        <v>1639</v>
      </c>
      <c r="D1471" s="25">
        <v>46244</v>
      </c>
      <c r="E1471" s="25">
        <v>46251</v>
      </c>
      <c r="F1471" s="25">
        <v>46275</v>
      </c>
      <c r="G1471" s="24">
        <f t="shared" si="26"/>
        <v>46290</v>
      </c>
      <c r="H1471" t="s">
        <v>1659</v>
      </c>
    </row>
    <row r="1472" spans="1:8">
      <c r="A1472" s="18" t="s">
        <v>1586</v>
      </c>
      <c r="B1472" t="s">
        <v>1157</v>
      </c>
      <c r="C1472" t="s">
        <v>1639</v>
      </c>
      <c r="D1472" s="25">
        <v>46244</v>
      </c>
      <c r="E1472" s="25">
        <v>46251</v>
      </c>
      <c r="F1472" s="25">
        <v>46275</v>
      </c>
      <c r="G1472" s="24">
        <f t="shared" si="26"/>
        <v>46290</v>
      </c>
      <c r="H1472" t="s">
        <v>1660</v>
      </c>
    </row>
    <row r="1473" spans="1:8">
      <c r="A1473" s="18" t="s">
        <v>1586</v>
      </c>
      <c r="B1473" t="s">
        <v>1157</v>
      </c>
      <c r="C1473" t="s">
        <v>1639</v>
      </c>
      <c r="D1473" s="25">
        <v>46244</v>
      </c>
      <c r="E1473" s="25">
        <v>46251</v>
      </c>
      <c r="F1473" s="25">
        <v>46275</v>
      </c>
      <c r="G1473" s="24">
        <f t="shared" si="26"/>
        <v>46290</v>
      </c>
      <c r="H1473" t="s">
        <v>1661</v>
      </c>
    </row>
    <row r="1474" spans="1:8">
      <c r="A1474" s="18" t="s">
        <v>1586</v>
      </c>
      <c r="B1474" t="s">
        <v>1157</v>
      </c>
      <c r="C1474" t="s">
        <v>1639</v>
      </c>
      <c r="D1474" s="25">
        <v>46235</v>
      </c>
      <c r="E1474" s="25">
        <v>46251</v>
      </c>
      <c r="F1474" s="25">
        <v>46280</v>
      </c>
      <c r="G1474" s="24">
        <f t="shared" si="26"/>
        <v>46295</v>
      </c>
      <c r="H1474" t="s">
        <v>1662</v>
      </c>
    </row>
    <row r="1475" spans="1:8">
      <c r="A1475" s="18" t="s">
        <v>1586</v>
      </c>
      <c r="B1475" t="s">
        <v>1157</v>
      </c>
      <c r="C1475" t="s">
        <v>1639</v>
      </c>
      <c r="D1475" s="25">
        <v>46235</v>
      </c>
      <c r="E1475" s="25">
        <v>46251</v>
      </c>
      <c r="F1475" s="25">
        <v>46280</v>
      </c>
      <c r="G1475" s="24">
        <f t="shared" si="26"/>
        <v>46295</v>
      </c>
      <c r="H1475" t="s">
        <v>1663</v>
      </c>
    </row>
    <row r="1476" spans="1:8">
      <c r="A1476" s="18" t="s">
        <v>1586</v>
      </c>
      <c r="B1476" t="s">
        <v>1157</v>
      </c>
      <c r="C1476" t="s">
        <v>1639</v>
      </c>
      <c r="D1476" s="25">
        <v>46235</v>
      </c>
      <c r="E1476" s="25">
        <v>46251</v>
      </c>
      <c r="F1476" s="25">
        <v>46280</v>
      </c>
      <c r="G1476" s="24">
        <f t="shared" si="26"/>
        <v>46295</v>
      </c>
      <c r="H1476" t="s">
        <v>1664</v>
      </c>
    </row>
    <row r="1477" spans="1:8">
      <c r="A1477" s="18" t="s">
        <v>1586</v>
      </c>
      <c r="B1477" t="s">
        <v>1157</v>
      </c>
      <c r="C1477" t="s">
        <v>1639</v>
      </c>
      <c r="D1477" s="25">
        <v>46235</v>
      </c>
      <c r="E1477" s="25">
        <v>46251</v>
      </c>
      <c r="F1477" s="25">
        <v>46280</v>
      </c>
      <c r="G1477" s="24">
        <f t="shared" si="26"/>
        <v>46295</v>
      </c>
      <c r="H1477" t="s">
        <v>1665</v>
      </c>
    </row>
    <row r="1478" spans="1:8">
      <c r="A1478" s="18" t="s">
        <v>1354</v>
      </c>
      <c r="B1478" t="s">
        <v>1386</v>
      </c>
      <c r="C1478" t="s">
        <v>1672</v>
      </c>
      <c r="D1478" s="25">
        <v>46254</v>
      </c>
      <c r="E1478" s="25">
        <v>46269</v>
      </c>
      <c r="F1478" s="25">
        <v>46303</v>
      </c>
      <c r="G1478" s="24">
        <f t="shared" ref="G1478:G1486" si="27">WORKDAY.INTL(F1478,10,1,0)+1</f>
        <v>46318</v>
      </c>
      <c r="H1478" t="s">
        <v>1666</v>
      </c>
    </row>
    <row r="1479" spans="1:8">
      <c r="A1479" s="18" t="s">
        <v>1586</v>
      </c>
      <c r="B1479" t="s">
        <v>1673</v>
      </c>
      <c r="C1479" t="s">
        <v>1674</v>
      </c>
      <c r="D1479" s="25">
        <v>46239</v>
      </c>
      <c r="E1479" s="25">
        <v>46246</v>
      </c>
      <c r="F1479" s="25">
        <v>46289</v>
      </c>
      <c r="G1479" s="24">
        <f t="shared" si="27"/>
        <v>46304</v>
      </c>
      <c r="H1479" t="s">
        <v>1667</v>
      </c>
    </row>
    <row r="1480" spans="1:8">
      <c r="A1480" s="18" t="s">
        <v>1354</v>
      </c>
      <c r="B1480" t="s">
        <v>1386</v>
      </c>
      <c r="C1480" t="s">
        <v>1671</v>
      </c>
      <c r="D1480" s="25">
        <v>46254</v>
      </c>
      <c r="E1480" s="25">
        <v>46269</v>
      </c>
      <c r="F1480" s="25">
        <v>46303</v>
      </c>
      <c r="G1480" s="24">
        <f t="shared" si="27"/>
        <v>46318</v>
      </c>
      <c r="H1480" t="s">
        <v>1668</v>
      </c>
    </row>
    <row r="1481" spans="1:8">
      <c r="A1481" s="18" t="s">
        <v>1586</v>
      </c>
      <c r="B1481" t="s">
        <v>1157</v>
      </c>
      <c r="C1481" t="s">
        <v>1639</v>
      </c>
      <c r="D1481" s="25">
        <v>46231</v>
      </c>
      <c r="E1481" s="25">
        <v>46241</v>
      </c>
      <c r="F1481" s="25">
        <v>46258</v>
      </c>
      <c r="G1481" s="24">
        <f t="shared" si="27"/>
        <v>46273</v>
      </c>
      <c r="H1481" t="s">
        <v>1669</v>
      </c>
    </row>
    <row r="1482" spans="1:8">
      <c r="A1482" s="18" t="s">
        <v>1586</v>
      </c>
      <c r="B1482" t="s">
        <v>1157</v>
      </c>
      <c r="C1482" t="s">
        <v>1639</v>
      </c>
      <c r="D1482" s="25">
        <v>46231</v>
      </c>
      <c r="E1482" s="25">
        <v>46241</v>
      </c>
      <c r="F1482" s="25">
        <v>46258</v>
      </c>
      <c r="G1482" s="24">
        <f t="shared" si="27"/>
        <v>46273</v>
      </c>
      <c r="H1482" t="s">
        <v>1670</v>
      </c>
    </row>
    <row r="1483" spans="1:8">
      <c r="A1483" s="18" t="s">
        <v>1354</v>
      </c>
      <c r="B1483" t="s">
        <v>1705</v>
      </c>
      <c r="C1483" t="s">
        <v>1704</v>
      </c>
      <c r="D1483" s="25">
        <v>46262</v>
      </c>
      <c r="E1483" s="25">
        <v>46298</v>
      </c>
      <c r="F1483" s="25">
        <v>46303</v>
      </c>
      <c r="G1483" s="24">
        <f t="shared" si="27"/>
        <v>46318</v>
      </c>
      <c r="H1483" t="s">
        <v>1675</v>
      </c>
    </row>
    <row r="1484" spans="1:8">
      <c r="A1484" s="18" t="s">
        <v>1586</v>
      </c>
      <c r="B1484" t="s">
        <v>1157</v>
      </c>
      <c r="C1484" t="s">
        <v>1639</v>
      </c>
      <c r="D1484" s="25">
        <v>46244</v>
      </c>
      <c r="E1484" s="25">
        <v>46248</v>
      </c>
      <c r="F1484" s="25">
        <v>46280</v>
      </c>
      <c r="G1484" s="24">
        <f t="shared" si="27"/>
        <v>46295</v>
      </c>
      <c r="H1484" t="s">
        <v>1676</v>
      </c>
    </row>
    <row r="1485" spans="1:8">
      <c r="A1485" s="18" t="s">
        <v>1354</v>
      </c>
      <c r="B1485" t="s">
        <v>1468</v>
      </c>
      <c r="C1485" t="s">
        <v>1706</v>
      </c>
      <c r="D1485" s="25">
        <v>46254</v>
      </c>
      <c r="E1485" s="25">
        <v>46261</v>
      </c>
      <c r="F1485" s="25">
        <v>46303</v>
      </c>
      <c r="G1485" s="24">
        <f t="shared" si="27"/>
        <v>46318</v>
      </c>
      <c r="H1485" t="s">
        <v>1709</v>
      </c>
    </row>
    <row r="1486" spans="1:8">
      <c r="A1486" s="18" t="s">
        <v>1354</v>
      </c>
      <c r="B1486" t="s">
        <v>1386</v>
      </c>
      <c r="C1486" t="s">
        <v>1707</v>
      </c>
      <c r="D1486" s="25">
        <v>46254</v>
      </c>
      <c r="F1486" s="25">
        <v>46288</v>
      </c>
      <c r="G1486" s="24">
        <f t="shared" si="27"/>
        <v>46303</v>
      </c>
      <c r="H1486" t="s">
        <v>1708</v>
      </c>
    </row>
    <row r="1487" spans="1:8">
      <c r="A1487" s="18" t="s">
        <v>1354</v>
      </c>
      <c r="B1487" t="s">
        <v>1386</v>
      </c>
      <c r="C1487" t="s">
        <v>1703</v>
      </c>
      <c r="D1487" s="25">
        <v>46254</v>
      </c>
      <c r="E1487" s="25">
        <v>46261</v>
      </c>
      <c r="F1487" s="25">
        <v>46295</v>
      </c>
      <c r="G1487" s="24">
        <f t="shared" ref="G1487:G1496" si="28">WORKDAY.INTL(F1487,10,1,0)+1</f>
        <v>46310</v>
      </c>
      <c r="H1487" t="s">
        <v>1685</v>
      </c>
    </row>
    <row r="1488" spans="1:8">
      <c r="A1488" s="18" t="s">
        <v>1354</v>
      </c>
      <c r="B1488" t="s">
        <v>1386</v>
      </c>
      <c r="C1488" t="s">
        <v>1703</v>
      </c>
      <c r="D1488" s="25">
        <v>46254</v>
      </c>
      <c r="E1488" s="25">
        <v>46261</v>
      </c>
      <c r="F1488" s="25">
        <v>46295</v>
      </c>
      <c r="G1488" s="24">
        <f t="shared" si="28"/>
        <v>46310</v>
      </c>
      <c r="H1488" t="s">
        <v>1686</v>
      </c>
    </row>
    <row r="1489" spans="1:8">
      <c r="A1489" t="s">
        <v>1494</v>
      </c>
      <c r="B1489" t="s">
        <v>1558</v>
      </c>
      <c r="C1489" t="s">
        <v>1700</v>
      </c>
      <c r="D1489" s="25">
        <v>46259</v>
      </c>
      <c r="E1489" s="25">
        <v>46266</v>
      </c>
      <c r="F1489" s="25">
        <v>46293</v>
      </c>
      <c r="G1489" s="24">
        <f t="shared" si="28"/>
        <v>46308</v>
      </c>
      <c r="H1489" t="s">
        <v>1680</v>
      </c>
    </row>
    <row r="1490" spans="1:8">
      <c r="A1490" t="s">
        <v>1494</v>
      </c>
      <c r="B1490" t="s">
        <v>1558</v>
      </c>
      <c r="C1490" t="s">
        <v>1700</v>
      </c>
      <c r="D1490" s="25">
        <v>46259</v>
      </c>
      <c r="E1490" s="25">
        <v>46266</v>
      </c>
      <c r="F1490" s="25">
        <v>46293</v>
      </c>
      <c r="G1490" s="24">
        <f t="shared" si="28"/>
        <v>46308</v>
      </c>
      <c r="H1490" t="s">
        <v>1681</v>
      </c>
    </row>
    <row r="1491" spans="1:8">
      <c r="A1491" t="s">
        <v>1494</v>
      </c>
      <c r="B1491" t="s">
        <v>1558</v>
      </c>
      <c r="C1491" t="s">
        <v>1700</v>
      </c>
      <c r="D1491" s="25">
        <v>46259</v>
      </c>
      <c r="E1491" s="25">
        <v>46266</v>
      </c>
      <c r="F1491" s="25">
        <v>46293</v>
      </c>
      <c r="G1491" s="24">
        <f t="shared" si="28"/>
        <v>46308</v>
      </c>
      <c r="H1491" t="s">
        <v>1682</v>
      </c>
    </row>
    <row r="1492" spans="1:8">
      <c r="A1492" t="s">
        <v>1494</v>
      </c>
      <c r="B1492" t="s">
        <v>1558</v>
      </c>
      <c r="C1492" t="s">
        <v>1701</v>
      </c>
      <c r="D1492" s="25">
        <v>46254</v>
      </c>
      <c r="E1492" s="25">
        <v>46266</v>
      </c>
      <c r="F1492" s="25">
        <v>46293</v>
      </c>
      <c r="G1492" s="24">
        <f t="shared" si="28"/>
        <v>46308</v>
      </c>
      <c r="H1492" t="s">
        <v>1687</v>
      </c>
    </row>
    <row r="1493" spans="1:8">
      <c r="A1493" t="s">
        <v>1494</v>
      </c>
      <c r="B1493" t="s">
        <v>1558</v>
      </c>
      <c r="C1493" t="s">
        <v>1701</v>
      </c>
      <c r="D1493" s="25">
        <v>46254</v>
      </c>
      <c r="E1493" s="25">
        <v>46266</v>
      </c>
      <c r="F1493" s="25">
        <v>46293</v>
      </c>
      <c r="G1493" s="24">
        <f t="shared" si="28"/>
        <v>46308</v>
      </c>
      <c r="H1493" t="s">
        <v>1688</v>
      </c>
    </row>
    <row r="1494" spans="1:8">
      <c r="A1494" t="s">
        <v>1494</v>
      </c>
      <c r="B1494" t="s">
        <v>1558</v>
      </c>
      <c r="C1494" t="s">
        <v>1702</v>
      </c>
      <c r="D1494" s="25">
        <v>46254</v>
      </c>
      <c r="E1494" s="25">
        <v>46266</v>
      </c>
      <c r="F1494" s="25">
        <v>46303</v>
      </c>
      <c r="G1494" s="24">
        <f t="shared" si="28"/>
        <v>46318</v>
      </c>
      <c r="H1494" t="s">
        <v>1677</v>
      </c>
    </row>
    <row r="1495" spans="1:8">
      <c r="A1495" t="s">
        <v>1494</v>
      </c>
      <c r="B1495" t="s">
        <v>1558</v>
      </c>
      <c r="C1495" t="s">
        <v>1702</v>
      </c>
      <c r="D1495" s="25">
        <v>46254</v>
      </c>
      <c r="E1495" s="25">
        <v>46266</v>
      </c>
      <c r="F1495" s="25">
        <v>46303</v>
      </c>
      <c r="G1495" s="24">
        <f t="shared" si="28"/>
        <v>46318</v>
      </c>
      <c r="H1495" t="s">
        <v>1678</v>
      </c>
    </row>
    <row r="1496" spans="1:8">
      <c r="A1496" t="s">
        <v>1494</v>
      </c>
      <c r="B1496" t="s">
        <v>1558</v>
      </c>
      <c r="C1496" t="s">
        <v>1702</v>
      </c>
      <c r="D1496" s="25">
        <v>46254</v>
      </c>
      <c r="E1496" s="25">
        <v>46266</v>
      </c>
      <c r="F1496" s="25">
        <v>46303</v>
      </c>
      <c r="G1496" s="24">
        <f t="shared" si="28"/>
        <v>46318</v>
      </c>
      <c r="H1496" t="s">
        <v>1679</v>
      </c>
    </row>
    <row r="1497" spans="1:8">
      <c r="A1497" t="s">
        <v>1494</v>
      </c>
      <c r="B1497" t="s">
        <v>1351</v>
      </c>
      <c r="C1497" t="s">
        <v>1699</v>
      </c>
      <c r="D1497" s="25">
        <v>46254</v>
      </c>
      <c r="F1497" s="25">
        <v>46303</v>
      </c>
      <c r="G1497" s="24">
        <f t="shared" ref="G1497:G1502" si="29">WORKDAY.INTL(F1497,10,1,0)+1</f>
        <v>46318</v>
      </c>
      <c r="H1497" t="s">
        <v>1683</v>
      </c>
    </row>
    <row r="1498" spans="1:8">
      <c r="A1498" t="s">
        <v>1494</v>
      </c>
      <c r="B1498" t="s">
        <v>1351</v>
      </c>
      <c r="C1498" t="s">
        <v>1699</v>
      </c>
      <c r="D1498" s="25">
        <v>46254</v>
      </c>
      <c r="F1498" s="25">
        <v>46303</v>
      </c>
      <c r="G1498" s="24">
        <f t="shared" si="29"/>
        <v>46318</v>
      </c>
      <c r="H1498" t="s">
        <v>1684</v>
      </c>
    </row>
    <row r="1499" spans="1:8">
      <c r="A1499" s="18" t="s">
        <v>1586</v>
      </c>
      <c r="B1499" t="s">
        <v>1366</v>
      </c>
      <c r="C1499" t="s">
        <v>1698</v>
      </c>
      <c r="D1499" s="25">
        <v>46254</v>
      </c>
      <c r="E1499" s="25">
        <v>46261</v>
      </c>
      <c r="F1499" s="25">
        <v>46302</v>
      </c>
      <c r="G1499" s="24">
        <f t="shared" si="29"/>
        <v>46317</v>
      </c>
      <c r="H1499" t="s">
        <v>1690</v>
      </c>
    </row>
    <row r="1500" spans="1:8">
      <c r="A1500" s="18" t="s">
        <v>1586</v>
      </c>
      <c r="B1500" t="s">
        <v>1366</v>
      </c>
      <c r="C1500" t="s">
        <v>1697</v>
      </c>
      <c r="D1500" s="25">
        <v>46259</v>
      </c>
      <c r="F1500" s="25">
        <v>46293</v>
      </c>
      <c r="G1500" s="24">
        <f t="shared" si="29"/>
        <v>46308</v>
      </c>
      <c r="H1500" t="s">
        <v>1691</v>
      </c>
    </row>
    <row r="1501" spans="1:8">
      <c r="A1501" s="18" t="s">
        <v>1586</v>
      </c>
      <c r="B1501" t="s">
        <v>1366</v>
      </c>
      <c r="C1501" t="s">
        <v>1697</v>
      </c>
      <c r="D1501" s="25">
        <v>46259</v>
      </c>
      <c r="F1501" s="25">
        <v>46293</v>
      </c>
      <c r="G1501" s="24">
        <f t="shared" si="29"/>
        <v>46308</v>
      </c>
      <c r="H1501" t="s">
        <v>1692</v>
      </c>
    </row>
    <row r="1502" spans="1:8">
      <c r="A1502" s="18" t="s">
        <v>1586</v>
      </c>
      <c r="B1502" t="s">
        <v>1366</v>
      </c>
      <c r="C1502" t="s">
        <v>1697</v>
      </c>
      <c r="D1502" s="25">
        <v>46259</v>
      </c>
      <c r="F1502" s="25">
        <v>46286</v>
      </c>
      <c r="G1502" s="24">
        <f t="shared" si="29"/>
        <v>46301</v>
      </c>
      <c r="H1502" t="s">
        <v>1693</v>
      </c>
    </row>
    <row r="1503" spans="1:8">
      <c r="A1503" s="18" t="s">
        <v>1586</v>
      </c>
      <c r="B1503" t="s">
        <v>1366</v>
      </c>
      <c r="C1503" t="s">
        <v>1697</v>
      </c>
      <c r="D1503" s="25">
        <v>46259</v>
      </c>
      <c r="F1503" s="25">
        <v>46286</v>
      </c>
      <c r="G1503" s="24">
        <f t="shared" ref="G1503" si="30">WORKDAY.INTL(F1503,10,1,0)+1</f>
        <v>46301</v>
      </c>
      <c r="H1503" t="s">
        <v>1727</v>
      </c>
    </row>
    <row r="1504" spans="1:8">
      <c r="A1504" t="s">
        <v>1494</v>
      </c>
      <c r="B1504" t="s">
        <v>1558</v>
      </c>
      <c r="C1504" t="s">
        <v>1696</v>
      </c>
      <c r="D1504" s="25">
        <v>46254</v>
      </c>
      <c r="F1504" s="25">
        <v>46303</v>
      </c>
      <c r="G1504" s="24">
        <f t="shared" ref="G1504:G1509" si="31">WORKDAY.INTL(F1504,10,1,0)+1</f>
        <v>46318</v>
      </c>
      <c r="H1504" t="s">
        <v>1689</v>
      </c>
    </row>
    <row r="1505" spans="1:8">
      <c r="A1505" t="s">
        <v>1494</v>
      </c>
      <c r="B1505" t="s">
        <v>1558</v>
      </c>
      <c r="C1505" t="s">
        <v>1696</v>
      </c>
      <c r="D1505" s="25">
        <v>46259</v>
      </c>
      <c r="F1505" s="25">
        <v>46293</v>
      </c>
      <c r="G1505" s="24">
        <f t="shared" si="31"/>
        <v>46308</v>
      </c>
      <c r="H1505" t="s">
        <v>1694</v>
      </c>
    </row>
    <row r="1506" spans="1:8">
      <c r="A1506" t="s">
        <v>1494</v>
      </c>
      <c r="B1506" t="s">
        <v>1558</v>
      </c>
      <c r="C1506" t="s">
        <v>1696</v>
      </c>
      <c r="D1506" s="25">
        <v>46259</v>
      </c>
      <c r="F1506" s="25">
        <v>46293</v>
      </c>
      <c r="G1506" s="24">
        <f t="shared" si="31"/>
        <v>46308</v>
      </c>
      <c r="H1506" t="s">
        <v>1695</v>
      </c>
    </row>
    <row r="1507" spans="1:8">
      <c r="A1507" t="s">
        <v>1494</v>
      </c>
      <c r="B1507" t="s">
        <v>1357</v>
      </c>
      <c r="C1507" t="s">
        <v>1730</v>
      </c>
      <c r="D1507" s="25">
        <v>46254</v>
      </c>
      <c r="E1507" s="25">
        <v>46272</v>
      </c>
      <c r="F1507" s="25">
        <v>46303</v>
      </c>
      <c r="G1507" s="24">
        <f t="shared" si="31"/>
        <v>46318</v>
      </c>
      <c r="H1507" t="s">
        <v>1710</v>
      </c>
    </row>
    <row r="1508" spans="1:8">
      <c r="A1508" t="s">
        <v>1494</v>
      </c>
      <c r="B1508" t="s">
        <v>1357</v>
      </c>
      <c r="C1508" t="s">
        <v>1730</v>
      </c>
      <c r="D1508" s="25">
        <v>46254</v>
      </c>
      <c r="E1508" s="25">
        <v>46272</v>
      </c>
      <c r="F1508" s="25">
        <v>46303</v>
      </c>
      <c r="G1508" s="24">
        <f t="shared" si="31"/>
        <v>46318</v>
      </c>
      <c r="H1508" t="s">
        <v>1711</v>
      </c>
    </row>
    <row r="1509" spans="1:8">
      <c r="A1509" t="s">
        <v>1494</v>
      </c>
      <c r="B1509" t="s">
        <v>1357</v>
      </c>
      <c r="C1509" t="s">
        <v>1730</v>
      </c>
      <c r="D1509" s="25">
        <v>46254</v>
      </c>
      <c r="E1509" s="25">
        <v>46272</v>
      </c>
      <c r="F1509" s="25">
        <v>46303</v>
      </c>
      <c r="G1509" s="24">
        <f t="shared" si="31"/>
        <v>46318</v>
      </c>
      <c r="H1509" t="s">
        <v>1712</v>
      </c>
    </row>
    <row r="1510" spans="1:8">
      <c r="A1510" t="s">
        <v>1494</v>
      </c>
      <c r="B1510" t="s">
        <v>1357</v>
      </c>
      <c r="C1510" t="s">
        <v>1728</v>
      </c>
      <c r="D1510" s="25">
        <v>46259</v>
      </c>
      <c r="E1510" s="25">
        <v>46272</v>
      </c>
      <c r="F1510" s="25">
        <v>46293</v>
      </c>
      <c r="G1510" s="24">
        <f t="shared" ref="G1510:G1528" si="32">WORKDAY.INTL(F1510,10,1,0)+1</f>
        <v>46308</v>
      </c>
      <c r="H1510" t="s">
        <v>1713</v>
      </c>
    </row>
    <row r="1511" spans="1:8">
      <c r="A1511" t="s">
        <v>1494</v>
      </c>
      <c r="B1511" t="s">
        <v>1357</v>
      </c>
      <c r="C1511" t="s">
        <v>1728</v>
      </c>
      <c r="D1511" s="25">
        <v>46259</v>
      </c>
      <c r="E1511" s="25">
        <v>46272</v>
      </c>
      <c r="F1511" s="25">
        <v>46293</v>
      </c>
      <c r="G1511" s="24">
        <f t="shared" si="32"/>
        <v>46308</v>
      </c>
      <c r="H1511" t="s">
        <v>1714</v>
      </c>
    </row>
    <row r="1512" spans="1:8">
      <c r="A1512" t="s">
        <v>1494</v>
      </c>
      <c r="B1512" t="s">
        <v>1357</v>
      </c>
      <c r="C1512" t="s">
        <v>1728</v>
      </c>
      <c r="D1512" s="25">
        <v>46259</v>
      </c>
      <c r="E1512" s="25">
        <v>46272</v>
      </c>
      <c r="F1512" s="25">
        <v>46293</v>
      </c>
      <c r="G1512" s="24">
        <f t="shared" si="32"/>
        <v>46308</v>
      </c>
      <c r="H1512" t="s">
        <v>1715</v>
      </c>
    </row>
    <row r="1513" spans="1:8">
      <c r="A1513" t="s">
        <v>1494</v>
      </c>
      <c r="B1513" t="s">
        <v>1357</v>
      </c>
      <c r="C1513" t="s">
        <v>1728</v>
      </c>
      <c r="D1513" s="25">
        <v>46259</v>
      </c>
      <c r="E1513" s="25">
        <v>46272</v>
      </c>
      <c r="F1513" s="25">
        <v>46293</v>
      </c>
      <c r="G1513" s="24">
        <f t="shared" si="32"/>
        <v>46308</v>
      </c>
      <c r="H1513" t="s">
        <v>1716</v>
      </c>
    </row>
    <row r="1514" spans="1:8">
      <c r="A1514" t="s">
        <v>1494</v>
      </c>
      <c r="B1514" t="s">
        <v>1357</v>
      </c>
      <c r="C1514" t="s">
        <v>1731</v>
      </c>
      <c r="D1514" s="25">
        <v>46259</v>
      </c>
      <c r="E1514" s="25">
        <v>46272</v>
      </c>
      <c r="F1514" s="25">
        <v>46293</v>
      </c>
      <c r="G1514" s="24">
        <f t="shared" si="32"/>
        <v>46308</v>
      </c>
      <c r="H1514" t="s">
        <v>1717</v>
      </c>
    </row>
    <row r="1515" spans="1:8">
      <c r="A1515" t="s">
        <v>1494</v>
      </c>
      <c r="B1515" t="s">
        <v>1357</v>
      </c>
      <c r="C1515" t="s">
        <v>1731</v>
      </c>
      <c r="D1515" s="25">
        <v>46259</v>
      </c>
      <c r="E1515" s="25">
        <v>46272</v>
      </c>
      <c r="F1515" s="25">
        <v>46293</v>
      </c>
      <c r="G1515" s="24">
        <f t="shared" si="32"/>
        <v>46308</v>
      </c>
      <c r="H1515" t="s">
        <v>1718</v>
      </c>
    </row>
    <row r="1516" spans="1:8">
      <c r="A1516" t="s">
        <v>1494</v>
      </c>
      <c r="B1516" t="s">
        <v>1357</v>
      </c>
      <c r="C1516" t="s">
        <v>1731</v>
      </c>
      <c r="D1516" s="25">
        <v>46259</v>
      </c>
      <c r="E1516" s="25">
        <v>46272</v>
      </c>
      <c r="F1516" s="25">
        <v>46293</v>
      </c>
      <c r="G1516" s="24">
        <f t="shared" si="32"/>
        <v>46308</v>
      </c>
      <c r="H1516" t="s">
        <v>1719</v>
      </c>
    </row>
    <row r="1517" spans="1:8">
      <c r="A1517" t="s">
        <v>1494</v>
      </c>
      <c r="B1517" t="s">
        <v>1357</v>
      </c>
      <c r="C1517" t="s">
        <v>1732</v>
      </c>
      <c r="D1517" s="25">
        <v>46259</v>
      </c>
      <c r="E1517" s="25">
        <v>46272</v>
      </c>
      <c r="F1517" s="25">
        <v>46303</v>
      </c>
      <c r="G1517" s="24">
        <f t="shared" si="32"/>
        <v>46318</v>
      </c>
      <c r="H1517" t="s">
        <v>1720</v>
      </c>
    </row>
    <row r="1518" spans="1:8">
      <c r="A1518" t="s">
        <v>1494</v>
      </c>
      <c r="B1518" t="s">
        <v>1357</v>
      </c>
      <c r="C1518" t="s">
        <v>1732</v>
      </c>
      <c r="D1518" s="25">
        <v>46259</v>
      </c>
      <c r="E1518" s="25">
        <v>46272</v>
      </c>
      <c r="F1518" s="25">
        <v>46303</v>
      </c>
      <c r="G1518" s="24">
        <f t="shared" si="32"/>
        <v>46318</v>
      </c>
      <c r="H1518" t="s">
        <v>1721</v>
      </c>
    </row>
    <row r="1519" spans="1:8">
      <c r="A1519" t="s">
        <v>1494</v>
      </c>
      <c r="B1519" t="s">
        <v>1357</v>
      </c>
      <c r="C1519" t="s">
        <v>1732</v>
      </c>
      <c r="D1519" s="25">
        <v>46259</v>
      </c>
      <c r="E1519" s="25">
        <v>46272</v>
      </c>
      <c r="F1519" s="25">
        <v>46303</v>
      </c>
      <c r="G1519" s="24">
        <f t="shared" si="32"/>
        <v>46318</v>
      </c>
      <c r="H1519" t="s">
        <v>1722</v>
      </c>
    </row>
    <row r="1520" spans="1:8">
      <c r="A1520" t="s">
        <v>1494</v>
      </c>
      <c r="B1520" t="s">
        <v>1357</v>
      </c>
      <c r="C1520" t="s">
        <v>1729</v>
      </c>
      <c r="D1520" s="25">
        <v>46259</v>
      </c>
      <c r="E1520" s="25">
        <v>46272</v>
      </c>
      <c r="F1520" s="25">
        <v>46286</v>
      </c>
      <c r="G1520" s="24">
        <f t="shared" si="32"/>
        <v>46301</v>
      </c>
      <c r="H1520" t="s">
        <v>1723</v>
      </c>
    </row>
    <row r="1521" spans="1:8">
      <c r="A1521" t="s">
        <v>1494</v>
      </c>
      <c r="B1521" t="s">
        <v>1357</v>
      </c>
      <c r="C1521" t="s">
        <v>1729</v>
      </c>
      <c r="D1521" s="25">
        <v>46259</v>
      </c>
      <c r="E1521" s="25">
        <v>46272</v>
      </c>
      <c r="F1521" s="25">
        <v>46286</v>
      </c>
      <c r="G1521" s="24">
        <f t="shared" si="32"/>
        <v>46301</v>
      </c>
      <c r="H1521" t="s">
        <v>1724</v>
      </c>
    </row>
    <row r="1522" spans="1:8">
      <c r="A1522" t="s">
        <v>1494</v>
      </c>
      <c r="B1522" t="s">
        <v>1357</v>
      </c>
      <c r="C1522" t="s">
        <v>1729</v>
      </c>
      <c r="D1522" s="25">
        <v>46259</v>
      </c>
      <c r="E1522" s="25">
        <v>46272</v>
      </c>
      <c r="F1522" s="25">
        <v>46286</v>
      </c>
      <c r="G1522" s="24">
        <f t="shared" si="32"/>
        <v>46301</v>
      </c>
      <c r="H1522" t="s">
        <v>1725</v>
      </c>
    </row>
    <row r="1523" spans="1:8">
      <c r="A1523" t="s">
        <v>1494</v>
      </c>
      <c r="B1523" t="s">
        <v>1357</v>
      </c>
      <c r="C1523" t="s">
        <v>1729</v>
      </c>
      <c r="D1523" s="25">
        <v>46259</v>
      </c>
      <c r="E1523" s="25">
        <v>46272</v>
      </c>
      <c r="F1523" s="25">
        <v>46286</v>
      </c>
      <c r="G1523" s="24">
        <f t="shared" si="32"/>
        <v>46301</v>
      </c>
      <c r="H1523" t="s">
        <v>1726</v>
      </c>
    </row>
    <row r="1524" spans="1:8">
      <c r="A1524" t="s">
        <v>1586</v>
      </c>
      <c r="B1524" t="s">
        <v>1366</v>
      </c>
      <c r="C1524" t="s">
        <v>1733</v>
      </c>
      <c r="D1524" s="25">
        <v>46254</v>
      </c>
      <c r="E1524" s="25">
        <v>46261</v>
      </c>
      <c r="F1524" s="25">
        <v>46302</v>
      </c>
      <c r="G1524" s="24">
        <f t="shared" si="32"/>
        <v>46317</v>
      </c>
      <c r="H1524" t="s">
        <v>1734</v>
      </c>
    </row>
    <row r="1525" spans="1:8">
      <c r="A1525" t="s">
        <v>1586</v>
      </c>
      <c r="B1525" t="s">
        <v>1673</v>
      </c>
      <c r="C1525" t="s">
        <v>1735</v>
      </c>
      <c r="D1525" s="25">
        <v>46254</v>
      </c>
      <c r="F1525" s="25">
        <v>46303</v>
      </c>
      <c r="G1525" s="24">
        <f t="shared" si="32"/>
        <v>46318</v>
      </c>
      <c r="H1525" t="s">
        <v>1737</v>
      </c>
    </row>
    <row r="1526" spans="1:8">
      <c r="A1526" t="s">
        <v>1354</v>
      </c>
      <c r="B1526" t="s">
        <v>1386</v>
      </c>
      <c r="C1526" t="s">
        <v>1736</v>
      </c>
      <c r="D1526" s="25">
        <v>46259</v>
      </c>
      <c r="E1526" s="25">
        <v>46262</v>
      </c>
      <c r="F1526" s="25">
        <v>46294</v>
      </c>
      <c r="G1526" s="24">
        <f t="shared" si="32"/>
        <v>46309</v>
      </c>
      <c r="H1526" t="s">
        <v>1738</v>
      </c>
    </row>
    <row r="1527" spans="1:8">
      <c r="A1527" t="s">
        <v>1494</v>
      </c>
      <c r="B1527" t="s">
        <v>1558</v>
      </c>
      <c r="C1527" t="s">
        <v>1741</v>
      </c>
      <c r="D1527" s="25">
        <v>46259</v>
      </c>
      <c r="E1527" s="25">
        <v>46266</v>
      </c>
      <c r="F1527" s="25">
        <v>46316</v>
      </c>
      <c r="G1527" s="24">
        <f t="shared" si="32"/>
        <v>46331</v>
      </c>
      <c r="H1527" t="s">
        <v>1739</v>
      </c>
    </row>
    <row r="1528" spans="1:8">
      <c r="A1528" t="s">
        <v>1494</v>
      </c>
      <c r="B1528" t="s">
        <v>1558</v>
      </c>
      <c r="C1528" t="s">
        <v>1741</v>
      </c>
      <c r="D1528" s="25">
        <v>46259</v>
      </c>
      <c r="E1528" s="25">
        <v>46266</v>
      </c>
      <c r="F1528" s="25">
        <v>46316</v>
      </c>
      <c r="G1528" s="24">
        <f t="shared" si="32"/>
        <v>46331</v>
      </c>
      <c r="H1528" t="s">
        <v>1740</v>
      </c>
    </row>
  </sheetData>
  <autoFilter ref="A1:I1435" xr:uid="{9999E96D-4CFB-4E05-B33D-24F4D0D91426}">
    <filterColumn colId="3">
      <filters>
        <dateGroupItem year="2026" dateTimeGrouping="yea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0499-8C18-4D69-94D8-44B1F7B94840}">
  <dimension ref="G1:Y17"/>
  <sheetViews>
    <sheetView topLeftCell="D1" workbookViewId="0">
      <selection activeCell="Q11" sqref="Q11"/>
    </sheetView>
  </sheetViews>
  <sheetFormatPr baseColWidth="10" defaultRowHeight="15"/>
  <cols>
    <col min="7" max="7" width="22.5703125" bestFit="1" customWidth="1"/>
  </cols>
  <sheetData>
    <row r="1" spans="7:25" ht="24">
      <c r="G1" s="1" t="s">
        <v>0</v>
      </c>
      <c r="I1" t="s">
        <v>1589</v>
      </c>
      <c r="L1" t="s">
        <v>1589</v>
      </c>
      <c r="M1" t="s">
        <v>1598</v>
      </c>
      <c r="P1" s="1" t="s">
        <v>1156</v>
      </c>
      <c r="Q1" t="s">
        <v>1584</v>
      </c>
      <c r="Y1" s="27"/>
    </row>
    <row r="2" spans="7:25">
      <c r="G2" s="2" t="s">
        <v>1586</v>
      </c>
      <c r="H2" t="str">
        <f>UPPER(G2)</f>
        <v>AMANDA DIAZ</v>
      </c>
      <c r="I2">
        <f>_xlfn.XLOOKUP(H2,M:M,L:L)</f>
        <v>1</v>
      </c>
      <c r="L2" s="27">
        <v>1</v>
      </c>
      <c r="M2" s="27" t="s">
        <v>1592</v>
      </c>
      <c r="P2" t="s">
        <v>1366</v>
      </c>
      <c r="Q2">
        <f>_xlfn.XLOOKUP(P2,T:T,S:S)</f>
        <v>3</v>
      </c>
      <c r="Y2" s="27"/>
    </row>
    <row r="3" spans="7:25">
      <c r="G3" s="2" t="s">
        <v>10</v>
      </c>
      <c r="H3" t="str">
        <f t="shared" ref="H3:H7" si="0">UPPER(G3)</f>
        <v>JOAQUIN MARZAN</v>
      </c>
      <c r="I3">
        <f t="shared" ref="I3:I7" si="1">_xlfn.XLOOKUP(H3,M:M,L:L)</f>
        <v>2</v>
      </c>
      <c r="L3" s="27">
        <v>2</v>
      </c>
      <c r="M3" s="27" t="s">
        <v>1593</v>
      </c>
      <c r="P3" t="s">
        <v>1530</v>
      </c>
      <c r="Q3">
        <f t="shared" ref="Q3:Q14" si="2">_xlfn.XLOOKUP(P3,T:T,S:S)</f>
        <v>4</v>
      </c>
      <c r="S3" s="27">
        <v>1</v>
      </c>
      <c r="T3" s="27" t="s">
        <v>1599</v>
      </c>
      <c r="U3" s="27" t="s">
        <v>1600</v>
      </c>
      <c r="V3" s="27">
        <v>1</v>
      </c>
      <c r="W3" s="33">
        <v>46205.596273148149</v>
      </c>
      <c r="X3" s="33">
        <v>46205.596273148149</v>
      </c>
      <c r="Y3" s="27"/>
    </row>
    <row r="4" spans="7:25">
      <c r="G4" s="2" t="s">
        <v>1587</v>
      </c>
      <c r="H4" t="str">
        <f t="shared" si="0"/>
        <v>MARIA EMILIA FUENZALIDA</v>
      </c>
      <c r="I4">
        <f t="shared" si="1"/>
        <v>3</v>
      </c>
      <c r="L4" s="27">
        <v>3</v>
      </c>
      <c r="M4" s="27" t="s">
        <v>1594</v>
      </c>
      <c r="P4" s="2" t="s">
        <v>1157</v>
      </c>
      <c r="Q4">
        <f t="shared" si="2"/>
        <v>5</v>
      </c>
      <c r="S4" s="27">
        <v>2</v>
      </c>
      <c r="T4" s="27" t="s">
        <v>1601</v>
      </c>
      <c r="U4" s="27" t="s">
        <v>1602</v>
      </c>
      <c r="V4" s="27">
        <v>1</v>
      </c>
      <c r="W4" s="33">
        <v>46205.596782407411</v>
      </c>
      <c r="X4" s="33">
        <v>46205.596782407411</v>
      </c>
      <c r="Y4" s="27"/>
    </row>
    <row r="5" spans="7:25">
      <c r="G5" s="28" t="s">
        <v>1354</v>
      </c>
      <c r="H5" t="str">
        <f t="shared" si="0"/>
        <v>EMILIA FUENZALIDA</v>
      </c>
      <c r="I5">
        <f t="shared" si="1"/>
        <v>4</v>
      </c>
      <c r="L5" s="27">
        <v>4</v>
      </c>
      <c r="M5" s="27" t="s">
        <v>1595</v>
      </c>
      <c r="P5" s="18" t="s">
        <v>1351</v>
      </c>
      <c r="Q5" s="27">
        <v>6</v>
      </c>
      <c r="S5" s="27">
        <v>3</v>
      </c>
      <c r="T5" s="27" t="s">
        <v>1603</v>
      </c>
      <c r="U5" s="27"/>
      <c r="V5" s="27">
        <v>1</v>
      </c>
      <c r="W5" s="33">
        <v>46205.612800925926</v>
      </c>
      <c r="X5" s="33">
        <v>46205.612800925926</v>
      </c>
      <c r="Y5" s="27"/>
    </row>
    <row r="6" spans="7:25">
      <c r="G6" s="2" t="s">
        <v>1588</v>
      </c>
      <c r="H6" t="str">
        <f t="shared" si="0"/>
        <v>MARIA IGNACIA ARIZTIA</v>
      </c>
      <c r="I6">
        <f t="shared" si="1"/>
        <v>5</v>
      </c>
      <c r="L6" s="27">
        <v>5</v>
      </c>
      <c r="M6" s="27" t="s">
        <v>1596</v>
      </c>
      <c r="P6" t="s">
        <v>1357</v>
      </c>
      <c r="Q6">
        <f t="shared" si="2"/>
        <v>7</v>
      </c>
      <c r="S6" s="27">
        <v>4</v>
      </c>
      <c r="T6" s="27" t="s">
        <v>1604</v>
      </c>
      <c r="U6" s="27"/>
      <c r="V6" s="27">
        <v>1</v>
      </c>
      <c r="W6" s="33">
        <v>46205.612858796296</v>
      </c>
      <c r="X6" s="33">
        <v>46205.612858796296</v>
      </c>
      <c r="Y6" s="27"/>
    </row>
    <row r="7" spans="7:25">
      <c r="G7" s="2" t="s">
        <v>1494</v>
      </c>
      <c r="H7" t="str">
        <f t="shared" si="0"/>
        <v>FRANCISCO JORDAN</v>
      </c>
      <c r="I7">
        <f t="shared" si="1"/>
        <v>6</v>
      </c>
      <c r="L7" s="27">
        <v>6</v>
      </c>
      <c r="M7" s="27" t="s">
        <v>1597</v>
      </c>
      <c r="P7" s="28" t="s">
        <v>1369</v>
      </c>
      <c r="Q7">
        <f t="shared" si="2"/>
        <v>8</v>
      </c>
      <c r="S7" s="27">
        <v>5</v>
      </c>
      <c r="T7" s="27" t="s">
        <v>1605</v>
      </c>
      <c r="U7" s="27"/>
      <c r="V7" s="27">
        <v>1</v>
      </c>
      <c r="W7" s="33">
        <v>46205.612939814811</v>
      </c>
      <c r="X7" s="33">
        <v>46205.612939814811</v>
      </c>
      <c r="Y7" s="27"/>
    </row>
    <row r="8" spans="7:25">
      <c r="P8" s="28" t="s">
        <v>1386</v>
      </c>
      <c r="Q8">
        <f t="shared" si="2"/>
        <v>9</v>
      </c>
      <c r="S8" s="27">
        <v>6</v>
      </c>
      <c r="T8" s="27" t="s">
        <v>1606</v>
      </c>
      <c r="U8" s="27"/>
      <c r="V8" s="27">
        <v>1</v>
      </c>
      <c r="W8" s="33">
        <v>46205.612986111111</v>
      </c>
      <c r="X8" s="33">
        <v>46205.612986111111</v>
      </c>
      <c r="Y8" s="27"/>
    </row>
    <row r="9" spans="7:25">
      <c r="P9" s="28" t="s">
        <v>1394</v>
      </c>
      <c r="Q9" s="27">
        <v>10</v>
      </c>
      <c r="S9" s="27">
        <v>7</v>
      </c>
      <c r="T9" s="27" t="s">
        <v>1607</v>
      </c>
      <c r="U9" s="27"/>
      <c r="V9" s="27">
        <v>1</v>
      </c>
      <c r="W9" s="33">
        <v>46205.613067129627</v>
      </c>
      <c r="X9" s="33">
        <v>46205.613067129627</v>
      </c>
      <c r="Y9" s="27"/>
    </row>
    <row r="10" spans="7:25">
      <c r="P10" s="28" t="s">
        <v>1495</v>
      </c>
      <c r="Q10">
        <f t="shared" si="2"/>
        <v>11</v>
      </c>
      <c r="S10" s="27">
        <v>8</v>
      </c>
      <c r="T10" s="27" t="s">
        <v>1608</v>
      </c>
      <c r="U10" s="27"/>
      <c r="V10" s="27">
        <v>1</v>
      </c>
      <c r="W10" s="33">
        <v>46205.613125000003</v>
      </c>
      <c r="X10" s="33">
        <v>46205.613125000003</v>
      </c>
      <c r="Y10" s="27"/>
    </row>
    <row r="11" spans="7:25">
      <c r="P11" s="28" t="s">
        <v>1550</v>
      </c>
      <c r="Q11" s="27">
        <v>12</v>
      </c>
      <c r="S11" s="27">
        <v>9</v>
      </c>
      <c r="T11" s="27" t="s">
        <v>1386</v>
      </c>
      <c r="U11" s="27"/>
      <c r="V11" s="27">
        <v>1</v>
      </c>
      <c r="W11" s="33">
        <v>46205.613194444442</v>
      </c>
      <c r="X11" s="33">
        <v>46205.613194444442</v>
      </c>
      <c r="Y11" s="27"/>
    </row>
    <row r="12" spans="7:25">
      <c r="P12" s="28" t="s">
        <v>1520</v>
      </c>
      <c r="Q12">
        <f t="shared" si="2"/>
        <v>13</v>
      </c>
      <c r="S12" s="27">
        <v>10</v>
      </c>
      <c r="T12" s="27" t="s">
        <v>1609</v>
      </c>
      <c r="U12" s="27"/>
      <c r="V12" s="27">
        <v>1</v>
      </c>
      <c r="W12" s="33">
        <v>46205.613287037035</v>
      </c>
      <c r="X12" s="33">
        <v>46205.613287037035</v>
      </c>
      <c r="Y12" s="27"/>
    </row>
    <row r="13" spans="7:25">
      <c r="P13" t="s">
        <v>1558</v>
      </c>
      <c r="Q13">
        <f t="shared" si="2"/>
        <v>14</v>
      </c>
      <c r="S13" s="27">
        <v>11</v>
      </c>
      <c r="T13" s="27" t="s">
        <v>1610</v>
      </c>
      <c r="U13" s="27"/>
      <c r="V13" s="27">
        <v>1</v>
      </c>
      <c r="W13" s="33">
        <v>46205.613344907404</v>
      </c>
      <c r="X13" s="33">
        <v>46205.613344907404</v>
      </c>
      <c r="Y13" s="27"/>
    </row>
    <row r="14" spans="7:25">
      <c r="P14" t="s">
        <v>1563</v>
      </c>
      <c r="Q14">
        <f t="shared" si="2"/>
        <v>15</v>
      </c>
      <c r="S14" s="27">
        <v>12</v>
      </c>
      <c r="T14" s="27" t="s">
        <v>1611</v>
      </c>
      <c r="U14" s="27"/>
      <c r="V14" s="27">
        <v>1</v>
      </c>
      <c r="W14" s="33">
        <v>46205.613668981481</v>
      </c>
      <c r="X14" s="33">
        <v>46205.613668981481</v>
      </c>
      <c r="Y14" s="27"/>
    </row>
    <row r="15" spans="7:25">
      <c r="S15" s="27">
        <v>13</v>
      </c>
      <c r="T15" s="27" t="s">
        <v>1029</v>
      </c>
      <c r="U15" s="27"/>
      <c r="V15" s="27">
        <v>1</v>
      </c>
      <c r="W15" s="33">
        <v>46205.613796296297</v>
      </c>
      <c r="X15" s="33">
        <v>46205.613796296297</v>
      </c>
      <c r="Y15" s="27"/>
    </row>
    <row r="16" spans="7:25">
      <c r="S16" s="27">
        <v>14</v>
      </c>
      <c r="T16" s="27" t="s">
        <v>1063</v>
      </c>
      <c r="U16" s="27"/>
      <c r="V16" s="27">
        <v>1</v>
      </c>
      <c r="W16" s="33">
        <v>46205.615636574075</v>
      </c>
      <c r="X16" s="33">
        <v>46205.615636574075</v>
      </c>
      <c r="Y16" s="27"/>
    </row>
    <row r="17" spans="19:24">
      <c r="S17" s="27">
        <v>15</v>
      </c>
      <c r="T17" s="27" t="s">
        <v>1135</v>
      </c>
      <c r="U17" s="27"/>
      <c r="V17" s="27">
        <v>1</v>
      </c>
      <c r="W17" s="33">
        <v>46205.615717592591</v>
      </c>
      <c r="X17" s="33">
        <v>46205.615717592591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8E45-1E6E-4DBB-9B42-3C846D1884DC}">
  <dimension ref="A1:B775"/>
  <sheetViews>
    <sheetView workbookViewId="0"/>
  </sheetViews>
  <sheetFormatPr baseColWidth="10" defaultRowHeight="15"/>
  <sheetData>
    <row r="1" spans="1:2">
      <c r="A1" s="16" t="s">
        <v>996</v>
      </c>
      <c r="B1" s="16" t="s">
        <v>997</v>
      </c>
    </row>
    <row r="2" spans="1:2">
      <c r="A2" t="s">
        <v>420</v>
      </c>
      <c r="B2" t="s">
        <v>998</v>
      </c>
    </row>
    <row r="3" spans="1:2">
      <c r="A3" t="s">
        <v>419</v>
      </c>
      <c r="B3" t="s">
        <v>999</v>
      </c>
    </row>
    <row r="4" spans="1:2">
      <c r="A4" t="s">
        <v>418</v>
      </c>
      <c r="B4" t="s">
        <v>1000</v>
      </c>
    </row>
    <row r="5" spans="1:2">
      <c r="A5" t="s">
        <v>243</v>
      </c>
      <c r="B5" t="s">
        <v>1000</v>
      </c>
    </row>
    <row r="6" spans="1:2">
      <c r="A6" t="s">
        <v>422</v>
      </c>
      <c r="B6" t="s">
        <v>258</v>
      </c>
    </row>
    <row r="7" spans="1:2">
      <c r="A7" t="s">
        <v>421</v>
      </c>
      <c r="B7" t="s">
        <v>258</v>
      </c>
    </row>
    <row r="8" spans="1:2">
      <c r="A8" t="s">
        <v>427</v>
      </c>
      <c r="B8" t="s">
        <v>258</v>
      </c>
    </row>
    <row r="9" spans="1:2">
      <c r="A9" t="s">
        <v>424</v>
      </c>
      <c r="B9" t="s">
        <v>258</v>
      </c>
    </row>
    <row r="10" spans="1:2">
      <c r="A10" t="s">
        <v>423</v>
      </c>
      <c r="B10" t="s">
        <v>258</v>
      </c>
    </row>
    <row r="11" spans="1:2">
      <c r="A11" t="s">
        <v>426</v>
      </c>
      <c r="B11" t="s">
        <v>258</v>
      </c>
    </row>
    <row r="12" spans="1:2">
      <c r="A12" t="s">
        <v>425</v>
      </c>
      <c r="B12" t="s">
        <v>258</v>
      </c>
    </row>
    <row r="13" spans="1:2">
      <c r="A13" t="s">
        <v>439</v>
      </c>
      <c r="B13" t="s">
        <v>1001</v>
      </c>
    </row>
    <row r="14" spans="1:2">
      <c r="A14" t="s">
        <v>432</v>
      </c>
      <c r="B14" t="s">
        <v>1002</v>
      </c>
    </row>
    <row r="15" spans="1:2">
      <c r="A15" t="s">
        <v>430</v>
      </c>
      <c r="B15" t="s">
        <v>1002</v>
      </c>
    </row>
    <row r="16" spans="1:2">
      <c r="A16" t="s">
        <v>431</v>
      </c>
      <c r="B16" t="s">
        <v>1002</v>
      </c>
    </row>
    <row r="17" spans="1:2">
      <c r="A17" t="s">
        <v>429</v>
      </c>
      <c r="B17" t="s">
        <v>1002</v>
      </c>
    </row>
    <row r="18" spans="1:2">
      <c r="A18" t="s">
        <v>435</v>
      </c>
      <c r="B18" t="s">
        <v>1002</v>
      </c>
    </row>
    <row r="19" spans="1:2">
      <c r="A19" t="s">
        <v>434</v>
      </c>
      <c r="B19" t="s">
        <v>1002</v>
      </c>
    </row>
    <row r="20" spans="1:2">
      <c r="A20" t="s">
        <v>433</v>
      </c>
      <c r="B20" t="s">
        <v>1002</v>
      </c>
    </row>
    <row r="21" spans="1:2">
      <c r="A21" t="s">
        <v>428</v>
      </c>
      <c r="B21" t="s">
        <v>1002</v>
      </c>
    </row>
    <row r="22" spans="1:2">
      <c r="A22" t="s">
        <v>438</v>
      </c>
      <c r="B22" t="s">
        <v>1002</v>
      </c>
    </row>
    <row r="23" spans="1:2">
      <c r="A23" t="s">
        <v>437</v>
      </c>
      <c r="B23" t="s">
        <v>1002</v>
      </c>
    </row>
    <row r="24" spans="1:2">
      <c r="A24" t="s">
        <v>436</v>
      </c>
      <c r="B24" t="s">
        <v>1002</v>
      </c>
    </row>
    <row r="25" spans="1:2">
      <c r="A25" t="s">
        <v>440</v>
      </c>
      <c r="B25" t="s">
        <v>1003</v>
      </c>
    </row>
    <row r="26" spans="1:2">
      <c r="A26" t="s">
        <v>441</v>
      </c>
      <c r="B26" t="s">
        <v>1003</v>
      </c>
    </row>
    <row r="27" spans="1:2">
      <c r="A27" t="s">
        <v>442</v>
      </c>
      <c r="B27" t="s">
        <v>1004</v>
      </c>
    </row>
    <row r="28" spans="1:2">
      <c r="A28" t="s">
        <v>443</v>
      </c>
      <c r="B28" t="s">
        <v>1004</v>
      </c>
    </row>
    <row r="29" spans="1:2">
      <c r="A29" t="s">
        <v>446</v>
      </c>
      <c r="B29" t="s">
        <v>1005</v>
      </c>
    </row>
    <row r="30" spans="1:2">
      <c r="A30" t="s">
        <v>445</v>
      </c>
      <c r="B30" t="s">
        <v>1005</v>
      </c>
    </row>
    <row r="31" spans="1:2">
      <c r="A31" t="s">
        <v>444</v>
      </c>
      <c r="B31" t="s">
        <v>1005</v>
      </c>
    </row>
    <row r="32" spans="1:2">
      <c r="A32" t="s">
        <v>447</v>
      </c>
      <c r="B32" t="s">
        <v>1006</v>
      </c>
    </row>
    <row r="33" spans="1:2">
      <c r="A33" t="s">
        <v>449</v>
      </c>
      <c r="B33" t="s">
        <v>1007</v>
      </c>
    </row>
    <row r="34" spans="1:2">
      <c r="A34" t="s">
        <v>450</v>
      </c>
      <c r="B34" t="s">
        <v>1007</v>
      </c>
    </row>
    <row r="35" spans="1:2">
      <c r="A35" t="s">
        <v>448</v>
      </c>
      <c r="B35" t="s">
        <v>1007</v>
      </c>
    </row>
    <row r="36" spans="1:2">
      <c r="A36" t="s">
        <v>451</v>
      </c>
      <c r="B36" t="s">
        <v>1008</v>
      </c>
    </row>
    <row r="37" spans="1:2">
      <c r="A37" t="s">
        <v>456</v>
      </c>
      <c r="B37" t="s">
        <v>1008</v>
      </c>
    </row>
    <row r="38" spans="1:2">
      <c r="A38" t="s">
        <v>454</v>
      </c>
      <c r="B38" t="s">
        <v>1008</v>
      </c>
    </row>
    <row r="39" spans="1:2">
      <c r="A39" t="s">
        <v>453</v>
      </c>
      <c r="B39" t="s">
        <v>1008</v>
      </c>
    </row>
    <row r="40" spans="1:2">
      <c r="A40" t="s">
        <v>455</v>
      </c>
      <c r="B40" t="s">
        <v>1008</v>
      </c>
    </row>
    <row r="41" spans="1:2">
      <c r="A41" t="s">
        <v>452</v>
      </c>
      <c r="B41" t="s">
        <v>1008</v>
      </c>
    </row>
    <row r="42" spans="1:2">
      <c r="A42" t="s">
        <v>464</v>
      </c>
      <c r="B42" t="s">
        <v>1009</v>
      </c>
    </row>
    <row r="43" spans="1:2">
      <c r="A43" t="s">
        <v>466</v>
      </c>
      <c r="B43" t="s">
        <v>1009</v>
      </c>
    </row>
    <row r="44" spans="1:2">
      <c r="A44" t="s">
        <v>465</v>
      </c>
      <c r="B44" t="s">
        <v>1009</v>
      </c>
    </row>
    <row r="45" spans="1:2">
      <c r="A45" t="s">
        <v>467</v>
      </c>
      <c r="B45" t="s">
        <v>1010</v>
      </c>
    </row>
    <row r="46" spans="1:2">
      <c r="A46" t="s">
        <v>481</v>
      </c>
      <c r="B46" t="s">
        <v>312</v>
      </c>
    </row>
    <row r="47" spans="1:2">
      <c r="A47" t="s">
        <v>482</v>
      </c>
      <c r="B47" t="s">
        <v>312</v>
      </c>
    </row>
    <row r="48" spans="1:2">
      <c r="A48" t="s">
        <v>1011</v>
      </c>
      <c r="B48" t="s">
        <v>1012</v>
      </c>
    </row>
    <row r="49" spans="1:2">
      <c r="A49" t="s">
        <v>484</v>
      </c>
      <c r="B49" t="s">
        <v>1012</v>
      </c>
    </row>
    <row r="50" spans="1:2">
      <c r="A50" t="s">
        <v>473</v>
      </c>
      <c r="B50" t="s">
        <v>1013</v>
      </c>
    </row>
    <row r="51" spans="1:2">
      <c r="A51" t="s">
        <v>485</v>
      </c>
      <c r="B51" t="s">
        <v>1014</v>
      </c>
    </row>
    <row r="52" spans="1:2">
      <c r="A52" t="s">
        <v>477</v>
      </c>
      <c r="B52" t="s">
        <v>1015</v>
      </c>
    </row>
    <row r="53" spans="1:2">
      <c r="A53" t="s">
        <v>475</v>
      </c>
      <c r="B53" t="s">
        <v>1016</v>
      </c>
    </row>
    <row r="54" spans="1:2">
      <c r="A54" t="s">
        <v>471</v>
      </c>
      <c r="B54" t="s">
        <v>1013</v>
      </c>
    </row>
    <row r="55" spans="1:2">
      <c r="A55" t="s">
        <v>472</v>
      </c>
      <c r="B55" t="s">
        <v>1013</v>
      </c>
    </row>
    <row r="56" spans="1:2">
      <c r="A56" t="s">
        <v>468</v>
      </c>
      <c r="B56" t="s">
        <v>1017</v>
      </c>
    </row>
    <row r="57" spans="1:2">
      <c r="A57" t="s">
        <v>458</v>
      </c>
      <c r="B57" t="s">
        <v>254</v>
      </c>
    </row>
    <row r="58" spans="1:2">
      <c r="A58" t="s">
        <v>457</v>
      </c>
      <c r="B58" t="s">
        <v>254</v>
      </c>
    </row>
    <row r="59" spans="1:2">
      <c r="A59" t="s">
        <v>479</v>
      </c>
      <c r="B59" t="s">
        <v>1015</v>
      </c>
    </row>
    <row r="60" spans="1:2">
      <c r="A60" t="s">
        <v>480</v>
      </c>
      <c r="B60" t="s">
        <v>1015</v>
      </c>
    </row>
    <row r="61" spans="1:2">
      <c r="A61" t="s">
        <v>478</v>
      </c>
      <c r="B61" t="s">
        <v>1015</v>
      </c>
    </row>
    <row r="62" spans="1:2">
      <c r="A62" t="s">
        <v>476</v>
      </c>
      <c r="B62" t="s">
        <v>1016</v>
      </c>
    </row>
    <row r="63" spans="1:2">
      <c r="A63" t="s">
        <v>469</v>
      </c>
      <c r="B63" t="s">
        <v>1017</v>
      </c>
    </row>
    <row r="64" spans="1:2">
      <c r="A64" t="s">
        <v>460</v>
      </c>
      <c r="B64" t="s">
        <v>254</v>
      </c>
    </row>
    <row r="65" spans="1:2">
      <c r="A65" t="s">
        <v>459</v>
      </c>
      <c r="B65" t="s">
        <v>254</v>
      </c>
    </row>
    <row r="66" spans="1:2">
      <c r="A66" t="s">
        <v>462</v>
      </c>
      <c r="B66" t="s">
        <v>254</v>
      </c>
    </row>
    <row r="67" spans="1:2">
      <c r="A67" t="s">
        <v>463</v>
      </c>
      <c r="B67" t="s">
        <v>254</v>
      </c>
    </row>
    <row r="68" spans="1:2">
      <c r="A68" t="s">
        <v>474</v>
      </c>
      <c r="B68" t="s">
        <v>1013</v>
      </c>
    </row>
    <row r="69" spans="1:2">
      <c r="A69" t="s">
        <v>470</v>
      </c>
      <c r="B69" t="s">
        <v>1013</v>
      </c>
    </row>
    <row r="70" spans="1:2">
      <c r="A70" t="s">
        <v>486</v>
      </c>
      <c r="B70" t="s">
        <v>254</v>
      </c>
    </row>
    <row r="71" spans="1:2">
      <c r="A71" t="s">
        <v>461</v>
      </c>
      <c r="B71" t="s">
        <v>254</v>
      </c>
    </row>
    <row r="72" spans="1:2">
      <c r="A72" t="s">
        <v>483</v>
      </c>
      <c r="B72" t="s">
        <v>1018</v>
      </c>
    </row>
    <row r="73" spans="1:2">
      <c r="A73" t="s">
        <v>1019</v>
      </c>
      <c r="B73" t="s">
        <v>1020</v>
      </c>
    </row>
    <row r="74" spans="1:2">
      <c r="A74" t="s">
        <v>487</v>
      </c>
      <c r="B74" t="s">
        <v>1021</v>
      </c>
    </row>
    <row r="75" spans="1:2">
      <c r="A75" t="s">
        <v>488</v>
      </c>
      <c r="B75" t="s">
        <v>1022</v>
      </c>
    </row>
    <row r="76" spans="1:2">
      <c r="A76" t="s">
        <v>489</v>
      </c>
      <c r="B76" t="s">
        <v>1023</v>
      </c>
    </row>
    <row r="77" spans="1:2">
      <c r="A77" t="s">
        <v>497</v>
      </c>
      <c r="B77" t="s">
        <v>1022</v>
      </c>
    </row>
    <row r="78" spans="1:2">
      <c r="A78" t="s">
        <v>496</v>
      </c>
      <c r="B78" t="s">
        <v>1024</v>
      </c>
    </row>
    <row r="79" spans="1:2">
      <c r="A79" t="s">
        <v>495</v>
      </c>
      <c r="B79" t="s">
        <v>1025</v>
      </c>
    </row>
    <row r="80" spans="1:2">
      <c r="A80" t="s">
        <v>494</v>
      </c>
      <c r="B80" t="s">
        <v>1025</v>
      </c>
    </row>
    <row r="81" spans="1:2">
      <c r="A81" t="s">
        <v>491</v>
      </c>
      <c r="B81" t="s">
        <v>1026</v>
      </c>
    </row>
    <row r="82" spans="1:2">
      <c r="A82" t="s">
        <v>490</v>
      </c>
      <c r="B82" t="s">
        <v>1026</v>
      </c>
    </row>
    <row r="83" spans="1:2">
      <c r="A83" t="s">
        <v>493</v>
      </c>
      <c r="B83" t="s">
        <v>1026</v>
      </c>
    </row>
    <row r="84" spans="1:2">
      <c r="A84" t="s">
        <v>492</v>
      </c>
      <c r="B84" t="s">
        <v>1026</v>
      </c>
    </row>
    <row r="85" spans="1:2">
      <c r="A85" t="s">
        <v>498</v>
      </c>
      <c r="B85" t="s">
        <v>1027</v>
      </c>
    </row>
    <row r="86" spans="1:2">
      <c r="A86" t="s">
        <v>502</v>
      </c>
      <c r="B86" t="s">
        <v>1004</v>
      </c>
    </row>
    <row r="87" spans="1:2">
      <c r="A87" t="s">
        <v>501</v>
      </c>
      <c r="B87" t="s">
        <v>1004</v>
      </c>
    </row>
    <row r="88" spans="1:2">
      <c r="A88" t="s">
        <v>500</v>
      </c>
      <c r="B88" t="s">
        <v>1004</v>
      </c>
    </row>
    <row r="89" spans="1:2">
      <c r="A89" t="s">
        <v>499</v>
      </c>
      <c r="B89" t="s">
        <v>1004</v>
      </c>
    </row>
    <row r="90" spans="1:2">
      <c r="A90" t="s">
        <v>503</v>
      </c>
      <c r="B90" t="s">
        <v>1028</v>
      </c>
    </row>
    <row r="91" spans="1:2">
      <c r="A91" t="s">
        <v>504</v>
      </c>
      <c r="B91" t="s">
        <v>1028</v>
      </c>
    </row>
    <row r="92" spans="1:2">
      <c r="A92" t="s">
        <v>506</v>
      </c>
      <c r="B92" t="s">
        <v>1029</v>
      </c>
    </row>
    <row r="93" spans="1:2">
      <c r="A93" t="s">
        <v>505</v>
      </c>
      <c r="B93" t="s">
        <v>1029</v>
      </c>
    </row>
    <row r="94" spans="1:2">
      <c r="A94" t="s">
        <v>512</v>
      </c>
      <c r="B94" t="s">
        <v>1030</v>
      </c>
    </row>
    <row r="95" spans="1:2">
      <c r="A95" t="s">
        <v>514</v>
      </c>
      <c r="B95" t="s">
        <v>1030</v>
      </c>
    </row>
    <row r="96" spans="1:2">
      <c r="A96" t="s">
        <v>515</v>
      </c>
      <c r="B96" t="s">
        <v>1030</v>
      </c>
    </row>
    <row r="97" spans="1:2">
      <c r="A97" t="s">
        <v>516</v>
      </c>
      <c r="B97" t="s">
        <v>1030</v>
      </c>
    </row>
    <row r="98" spans="1:2">
      <c r="A98" t="s">
        <v>507</v>
      </c>
      <c r="B98" t="s">
        <v>1030</v>
      </c>
    </row>
    <row r="99" spans="1:2">
      <c r="A99" t="s">
        <v>513</v>
      </c>
      <c r="B99" t="s">
        <v>1030</v>
      </c>
    </row>
    <row r="100" spans="1:2">
      <c r="A100" t="s">
        <v>509</v>
      </c>
      <c r="B100" t="s">
        <v>1030</v>
      </c>
    </row>
    <row r="101" spans="1:2">
      <c r="A101" t="s">
        <v>508</v>
      </c>
      <c r="B101" t="s">
        <v>1030</v>
      </c>
    </row>
    <row r="102" spans="1:2">
      <c r="A102" t="s">
        <v>510</v>
      </c>
      <c r="B102" t="s">
        <v>1030</v>
      </c>
    </row>
    <row r="103" spans="1:2">
      <c r="A103" t="s">
        <v>511</v>
      </c>
      <c r="B103" t="s">
        <v>1030</v>
      </c>
    </row>
    <row r="104" spans="1:2">
      <c r="A104" t="s">
        <v>518</v>
      </c>
      <c r="B104" t="s">
        <v>1031</v>
      </c>
    </row>
    <row r="105" spans="1:2">
      <c r="A105" t="s">
        <v>517</v>
      </c>
      <c r="B105" t="s">
        <v>1031</v>
      </c>
    </row>
    <row r="106" spans="1:2">
      <c r="A106" t="s">
        <v>521</v>
      </c>
      <c r="B106" t="s">
        <v>1032</v>
      </c>
    </row>
    <row r="107" spans="1:2">
      <c r="A107" t="s">
        <v>519</v>
      </c>
      <c r="B107" t="s">
        <v>1032</v>
      </c>
    </row>
    <row r="108" spans="1:2">
      <c r="A108" t="s">
        <v>520</v>
      </c>
      <c r="B108" t="s">
        <v>1032</v>
      </c>
    </row>
    <row r="109" spans="1:2">
      <c r="A109" t="s">
        <v>529</v>
      </c>
      <c r="B109" t="s">
        <v>1033</v>
      </c>
    </row>
    <row r="110" spans="1:2">
      <c r="A110" t="s">
        <v>525</v>
      </c>
      <c r="B110" t="s">
        <v>1033</v>
      </c>
    </row>
    <row r="111" spans="1:2">
      <c r="A111" t="s">
        <v>526</v>
      </c>
      <c r="B111" t="s">
        <v>1033</v>
      </c>
    </row>
    <row r="112" spans="1:2">
      <c r="A112" t="s">
        <v>528</v>
      </c>
      <c r="B112" t="s">
        <v>1033</v>
      </c>
    </row>
    <row r="113" spans="1:2">
      <c r="A113" t="s">
        <v>527</v>
      </c>
      <c r="B113" t="s">
        <v>1033</v>
      </c>
    </row>
    <row r="114" spans="1:2">
      <c r="A114" t="s">
        <v>530</v>
      </c>
      <c r="B114" t="s">
        <v>1033</v>
      </c>
    </row>
    <row r="115" spans="1:2">
      <c r="A115" t="s">
        <v>523</v>
      </c>
      <c r="B115" t="s">
        <v>1034</v>
      </c>
    </row>
    <row r="116" spans="1:2">
      <c r="A116" t="s">
        <v>522</v>
      </c>
      <c r="B116" t="s">
        <v>1034</v>
      </c>
    </row>
    <row r="117" spans="1:2">
      <c r="A117" t="s">
        <v>524</v>
      </c>
      <c r="B117" t="s">
        <v>1034</v>
      </c>
    </row>
    <row r="118" spans="1:2">
      <c r="A118" t="s">
        <v>534</v>
      </c>
      <c r="B118" t="s">
        <v>1035</v>
      </c>
    </row>
    <row r="119" spans="1:2">
      <c r="A119" t="s">
        <v>535</v>
      </c>
      <c r="B119" t="s">
        <v>1035</v>
      </c>
    </row>
    <row r="120" spans="1:2">
      <c r="A120" t="s">
        <v>533</v>
      </c>
      <c r="B120" t="s">
        <v>1004</v>
      </c>
    </row>
    <row r="121" spans="1:2">
      <c r="A121" t="s">
        <v>531</v>
      </c>
      <c r="B121" t="s">
        <v>1036</v>
      </c>
    </row>
    <row r="122" spans="1:2">
      <c r="A122" t="s">
        <v>532</v>
      </c>
      <c r="B122" t="s">
        <v>1036</v>
      </c>
    </row>
    <row r="123" spans="1:2">
      <c r="A123" t="s">
        <v>537</v>
      </c>
      <c r="B123" t="s">
        <v>1037</v>
      </c>
    </row>
    <row r="124" spans="1:2">
      <c r="A124" t="s">
        <v>536</v>
      </c>
      <c r="B124" t="s">
        <v>1037</v>
      </c>
    </row>
    <row r="125" spans="1:2">
      <c r="A125" t="s">
        <v>1038</v>
      </c>
      <c r="B125" t="s">
        <v>1039</v>
      </c>
    </row>
    <row r="126" spans="1:2">
      <c r="A126" t="s">
        <v>538</v>
      </c>
      <c r="B126" t="s">
        <v>1033</v>
      </c>
    </row>
    <row r="127" spans="1:2">
      <c r="A127" t="s">
        <v>539</v>
      </c>
      <c r="B127" t="s">
        <v>1040</v>
      </c>
    </row>
    <row r="128" spans="1:2">
      <c r="A128" t="s">
        <v>543</v>
      </c>
      <c r="B128" t="s">
        <v>1041</v>
      </c>
    </row>
    <row r="129" spans="1:2">
      <c r="A129" t="s">
        <v>540</v>
      </c>
      <c r="B129" t="s">
        <v>1041</v>
      </c>
    </row>
    <row r="130" spans="1:2">
      <c r="A130" t="s">
        <v>541</v>
      </c>
      <c r="B130" t="s">
        <v>1041</v>
      </c>
    </row>
    <row r="131" spans="1:2">
      <c r="A131" t="s">
        <v>544</v>
      </c>
      <c r="B131" t="s">
        <v>1041</v>
      </c>
    </row>
    <row r="132" spans="1:2">
      <c r="A132" t="s">
        <v>542</v>
      </c>
      <c r="B132" t="s">
        <v>1041</v>
      </c>
    </row>
    <row r="133" spans="1:2">
      <c r="A133" s="17" t="s">
        <v>547</v>
      </c>
      <c r="B133" t="s">
        <v>1042</v>
      </c>
    </row>
    <row r="134" spans="1:2">
      <c r="A134" s="17" t="s">
        <v>546</v>
      </c>
      <c r="B134" t="s">
        <v>1042</v>
      </c>
    </row>
    <row r="135" spans="1:2">
      <c r="A135" s="17" t="s">
        <v>551</v>
      </c>
      <c r="B135" t="s">
        <v>1042</v>
      </c>
    </row>
    <row r="136" spans="1:2">
      <c r="A136" s="17" t="s">
        <v>549</v>
      </c>
      <c r="B136" t="s">
        <v>1042</v>
      </c>
    </row>
    <row r="137" spans="1:2">
      <c r="A137" s="17" t="s">
        <v>550</v>
      </c>
      <c r="B137" t="s">
        <v>1042</v>
      </c>
    </row>
    <row r="138" spans="1:2">
      <c r="A138" s="17" t="s">
        <v>548</v>
      </c>
      <c r="B138" t="s">
        <v>1042</v>
      </c>
    </row>
    <row r="139" spans="1:2">
      <c r="A139" s="17" t="s">
        <v>545</v>
      </c>
      <c r="B139" t="s">
        <v>1043</v>
      </c>
    </row>
    <row r="140" spans="1:2">
      <c r="A140" t="str">
        <f>'[1]PANEL DE CONTROL'!R650</f>
        <v>W8 FARMACIA INDEPENDIENTE - MATERIAL (PAYLOADER)</v>
      </c>
      <c r="B140" t="s">
        <v>1044</v>
      </c>
    </row>
    <row r="141" spans="1:2">
      <c r="A141" t="str">
        <f>'[1]PANEL DE CONTROL'!R651</f>
        <v>W8 FARMACIA INDEPENDIENTE - MATERIAL (ANTIBRECHA)</v>
      </c>
      <c r="B141" t="s">
        <v>1044</v>
      </c>
    </row>
    <row r="142" spans="1:2">
      <c r="A142" t="str">
        <f>'[1]PANEL DE CONTROL'!R652</f>
        <v>W8 FARMACIA INDEPENDIENTE - MATERIAL (DESCOLOCADOR DE ALARMAS)</v>
      </c>
      <c r="B142" t="s">
        <v>1044</v>
      </c>
    </row>
    <row r="143" spans="1:2">
      <c r="A143" t="str">
        <f>'[1]PANEL DE CONTROL'!R653</f>
        <v>W8 FARMACIA INDEPENDIENTE - MATERIAL (ALARMAS)</v>
      </c>
      <c r="B143" t="s">
        <v>1044</v>
      </c>
    </row>
    <row r="144" spans="1:2">
      <c r="A144" t="str">
        <f>'[1]PANEL DE CONTROL'!R654</f>
        <v>W9 HIPER LIDER - LISTA 2  PAYLOADER TRENCITO SN(PAYLOADER)</v>
      </c>
      <c r="B144" t="s">
        <v>1045</v>
      </c>
    </row>
    <row r="145" spans="1:2">
      <c r="A145" t="str">
        <f>'[1]PANEL DE CONTROL'!R655</f>
        <v>W9 LIDER EXPRESS - LISTA 2  PAYLOADER TRENCITO SN(PAYLOADER)</v>
      </c>
      <c r="B145" t="s">
        <v>1045</v>
      </c>
    </row>
    <row r="146" spans="1:2">
      <c r="A146" t="str">
        <f>'[1]PANEL DE CONTROL'!R656</f>
        <v>W7 HIPER LIDER - NIDO BTS (REVESTIMIENTO)</v>
      </c>
      <c r="B146" t="s">
        <v>1046</v>
      </c>
    </row>
    <row r="147" spans="1:2">
      <c r="A147" t="str">
        <f>'[1]PANEL DE CONTROL'!R657</f>
        <v>W7 HIPER LIDER - NIDO BTS (PAYLOADER)</v>
      </c>
      <c r="B147" t="s">
        <v>1046</v>
      </c>
    </row>
    <row r="148" spans="1:2">
      <c r="A148" t="str">
        <f>'[1]PANEL DE CONTROL'!R658</f>
        <v>W7 HIPER LIDER - NIDO BTS (STICKER QR)</v>
      </c>
      <c r="B148" t="s">
        <v>1046</v>
      </c>
    </row>
    <row r="149" spans="1:2">
      <c r="A149" t="str">
        <f>'[1]PANEL DE CONTROL'!R659</f>
        <v>W7 LIDER EXPRESS - NIDO BTS (REVESTIMIENTO)</v>
      </c>
      <c r="B149" t="s">
        <v>1046</v>
      </c>
    </row>
    <row r="150" spans="1:2">
      <c r="A150" t="str">
        <f>'[1]PANEL DE CONTROL'!R660</f>
        <v>W7 LIDER EXPRESS - NIDO BTS (STICKER QR)</v>
      </c>
      <c r="B150" t="s">
        <v>1046</v>
      </c>
    </row>
    <row r="151" spans="1:2">
      <c r="A151" t="str">
        <f>'[1]PANEL DE CONTROL'!R661</f>
        <v>W9 SSRR - BICICLETAS Y MATERIAL PARA CONCURSO (BICICLETA)</v>
      </c>
      <c r="B151" t="s">
        <v>1047</v>
      </c>
    </row>
    <row r="152" spans="1:2">
      <c r="A152" t="str">
        <f>'[1]PANEL DE CONTROL'!R661</f>
        <v>W9 SSRR - BICICLETAS Y MATERIAL PARA CONCURSO (BICICLETA)</v>
      </c>
      <c r="B152" t="s">
        <v>1047</v>
      </c>
    </row>
    <row r="153" spans="1:2">
      <c r="A153" t="str">
        <f>'[1]PANEL DE CONTROL'!R662</f>
        <v>W9 SSRR - BICICLETAS Y MATERIAL PARA CONCURSO (REVESTIMIENTO ISLA)</v>
      </c>
      <c r="B153" t="s">
        <v>1047</v>
      </c>
    </row>
    <row r="154" spans="1:2">
      <c r="A154" t="str">
        <f>'[1]PANEL DE CONTROL'!R663</f>
        <v>W9 SSRR - BICICLETAS Y MATERIAL PARA CONCURSO (REVESTIMIENTO LATERAL DE CABECERA)</v>
      </c>
      <c r="B154" t="s">
        <v>1047</v>
      </c>
    </row>
    <row r="155" spans="1:2">
      <c r="A155" t="str">
        <f>'[1]PANEL DE CONTROL'!R663</f>
        <v>W9 SSRR - BICICLETAS Y MATERIAL PARA CONCURSO (REVESTIMIENTO LATERAL DE CABECERA)</v>
      </c>
      <c r="B155" t="s">
        <v>1047</v>
      </c>
    </row>
    <row r="156" spans="1:2">
      <c r="A156" t="str">
        <f>'[1]PANEL DE CONTROL'!R664</f>
        <v>W9 SSRR - BICICLETAS Y MATERIAL PARA CONCURSO (STOPPER VIBRIN)</v>
      </c>
      <c r="B156" t="s">
        <v>1047</v>
      </c>
    </row>
    <row r="157" spans="1:2">
      <c r="A157" t="str">
        <f>'[1]PANEL DE CONTROL'!R665</f>
        <v>W9 SSRR - BICICLETAS Y MATERIAL PARA CONCURSO (STOPPER VIBRIN)</v>
      </c>
      <c r="B157" t="s">
        <v>1047</v>
      </c>
    </row>
    <row r="158" spans="1:2">
      <c r="A158" t="str">
        <f>'[1]PANEL DE CONTROL'!R666</f>
        <v>W9 SSRR - BICICLETAS Y MATERIAL PARA CONCURSO (BANDEJA EN L)</v>
      </c>
      <c r="B158" t="s">
        <v>1047</v>
      </c>
    </row>
    <row r="159" spans="1:2">
      <c r="A159" t="str">
        <f>'[1]PANEL DE CONTROL'!R667</f>
        <v>W9 SSRR - BICICLETAS Y MATERIAL PARA CONCURSO (PENDON)</v>
      </c>
      <c r="B159" t="s">
        <v>1047</v>
      </c>
    </row>
    <row r="160" spans="1:2">
      <c r="A160" t="str">
        <f>'[1]PANEL DE CONTROL'!R668</f>
        <v>W9 SSRR - BICICLETAS Y MATERIAL PARA CONCURSO (CUPONERA CONCURSO)</v>
      </c>
      <c r="B160" t="s">
        <v>1047</v>
      </c>
    </row>
    <row r="161" spans="1:2">
      <c r="A161" t="str">
        <f>'[1]PANEL DE CONTROL'!R669</f>
        <v>W9 SSRR - BICICLETAS Y MATERIAL PARA CONCURSO (BUZON)</v>
      </c>
      <c r="B161" t="s">
        <v>1047</v>
      </c>
    </row>
    <row r="162" spans="1:2">
      <c r="A162" t="str">
        <f>'[1]PANEL DE CONTROL'!R670</f>
        <v>W9 JUMBO - NESTLÉ PASCUA 2024(EXHIBICION COMPLETA)</v>
      </c>
      <c r="B162" t="s">
        <v>1030</v>
      </c>
    </row>
    <row r="163" spans="1:2">
      <c r="A163" t="str">
        <f>'[1]PANEL DE CONTROL'!R671</f>
        <v>W9 JUMBO - NESTLÉ PASCUA 2024(EXHIBICION MEDIA)</v>
      </c>
      <c r="B163" t="s">
        <v>1030</v>
      </c>
    </row>
    <row r="164" spans="1:2">
      <c r="A164" t="str">
        <f>'[1]PANEL DE CONTROL'!R672</f>
        <v>W9 TOTTUS - MATERIALES CERELAC (GANCHERA)</v>
      </c>
      <c r="B164" t="s">
        <v>1007</v>
      </c>
    </row>
    <row r="165" spans="1:2">
      <c r="A165" t="str">
        <f>'[1]PANEL DE CONTROL'!R673</f>
        <v>W9 TOTTUS - MATERIALES CERELAC (BANDEJA)</v>
      </c>
      <c r="B165" t="s">
        <v>1007</v>
      </c>
    </row>
    <row r="166" spans="1:2">
      <c r="A166" t="str">
        <f>'[1]PANEL DE CONTROL'!R674</f>
        <v>W11 HIPER LIDER - ISLAS NESTLÉ RENUEVA TU CASA (ISLA)</v>
      </c>
      <c r="B166" t="s">
        <v>1048</v>
      </c>
    </row>
    <row r="167" spans="1:2">
      <c r="A167" t="str">
        <f>'[1]PANEL DE CONTROL'!R675</f>
        <v>W10 SISA - REEMPLAZO GRÁFICA TRITÓN  LOLLAPALOOZA(LATERAL FLEJERA CENEFA KIT TARUGOS)</v>
      </c>
      <c r="B167" t="s">
        <v>1033</v>
      </c>
    </row>
    <row r="168" spans="1:2">
      <c r="A168" t="str">
        <f>'[1]PANEL DE CONTROL'!R676</f>
        <v>W10 SISA - REEMPLAZO GRÁFICA TRITÓN  LOLLAPALOOZA(LATERAL FLEJERA CENEFA KIT TARUGOS)</v>
      </c>
      <c r="B168" t="s">
        <v>1033</v>
      </c>
    </row>
    <row r="169" spans="1:2">
      <c r="A169" t="str">
        <f>'[1]PANEL DE CONTROL'!R677</f>
        <v>W10 SISA - REEMPLAZO GRÁFICA TRITÓN  LOLLAPALOOZA(LATERAL FLEJERA CENEFA KIT TARUGOS)</v>
      </c>
      <c r="B169" t="s">
        <v>1033</v>
      </c>
    </row>
    <row r="170" spans="1:2">
      <c r="A170" t="str">
        <f>'[1]PANEL DE CONTROL'!R678</f>
        <v>W10 SISA - REEMPLAZO GRÁFICA TRITÓN  LOLLAPALOOZA(LATERAL FLEJERA CENEFA KIT TARUGOS)</v>
      </c>
      <c r="B170" t="s">
        <v>1033</v>
      </c>
    </row>
    <row r="171" spans="1:2">
      <c r="A171" t="str">
        <f>'[1]PANEL DE CONTROL'!R679</f>
        <v>W11 UNIMARC - PAYLOADERS MILO GALLETAS(PAYLOADER)</v>
      </c>
      <c r="B171" t="s">
        <v>1049</v>
      </c>
    </row>
    <row r="172" spans="1:2">
      <c r="A172" t="str">
        <f>'[1]PANEL DE CONTROL'!R680</f>
        <v>W9 ESMAX - SALAS ESMAX PASCUA 2024 (GANCHERA)</v>
      </c>
      <c r="B172" t="s">
        <v>1030</v>
      </c>
    </row>
    <row r="173" spans="1:2">
      <c r="A173" t="str">
        <f>'[1]PANEL DE CONTROL'!R681</f>
        <v>W12 SSRR -  NIDO BTS (REVESTIMIENTO ISLA)</v>
      </c>
      <c r="B173" t="s">
        <v>1046</v>
      </c>
    </row>
    <row r="174" spans="1:2">
      <c r="A174" t="str">
        <f>'[1]PANEL DE CONTROL'!R682</f>
        <v>W12 SSRR -  NIDO BTS (REVESTIMIENTO LATERAL)</v>
      </c>
      <c r="B174" t="s">
        <v>1046</v>
      </c>
    </row>
    <row r="175" spans="1:2">
      <c r="A175" t="str">
        <f>'[1]PANEL DE CONTROL'!R683</f>
        <v>W12 SSRR -  NIDO BTS (PAYLOADER)</v>
      </c>
      <c r="B175" t="s">
        <v>1046</v>
      </c>
    </row>
    <row r="176" spans="1:2">
      <c r="A176" t="str">
        <f>'[1]PANEL DE CONTROL'!R684</f>
        <v>W12 SSRR -  NIDO BTS (STOPPER)</v>
      </c>
      <c r="B176" t="s">
        <v>1046</v>
      </c>
    </row>
    <row r="177" spans="1:2">
      <c r="A177" t="str">
        <f>'[1]PANEL DE CONTROL'!R685</f>
        <v>W11 UNIMARC - NIDO BTS (REVESTIMIENTO CABECERA)</v>
      </c>
      <c r="B177" t="s">
        <v>1046</v>
      </c>
    </row>
    <row r="178" spans="1:2">
      <c r="A178" t="str">
        <f>'[1]PANEL DE CONTROL'!R686</f>
        <v>W12 SSRR - CORRIDA MILO TEMUCO (REVESTIMIENTO LATERAL)</v>
      </c>
      <c r="B178" t="s">
        <v>1050</v>
      </c>
    </row>
    <row r="179" spans="1:2">
      <c r="A179" t="str">
        <f>'[1]PANEL DE CONTROL'!R687</f>
        <v>W12 SSRR - CORRIDA MILO TEMUCO (PAYLOADER)</v>
      </c>
      <c r="B179" t="s">
        <v>1050</v>
      </c>
    </row>
    <row r="180" spans="1:2">
      <c r="A180" t="str">
        <f>'[1]PANEL DE CONTROL'!R688</f>
        <v>W12 SSRR - CORRIDA MILO TEMUCO (STOPPER VIBRIN)</v>
      </c>
      <c r="B180" t="s">
        <v>1050</v>
      </c>
    </row>
    <row r="181" spans="1:2">
      <c r="A181" t="str">
        <f>'[1]PANEL DE CONTROL'!R689</f>
        <v>W12 SSRR - CORRIDA MILO TEMUCO (STOPPER VIBRIN)</v>
      </c>
      <c r="B181" t="s">
        <v>1050</v>
      </c>
    </row>
    <row r="182" spans="1:2">
      <c r="A182" t="str">
        <f>'[1]PANEL DE CONTROL'!R691</f>
        <v>W8 HIPER LIDER - CORRIDA MILO TEMUCO (VIBRIN FLEJERA STOPPER)</v>
      </c>
      <c r="B182" t="s">
        <v>1050</v>
      </c>
    </row>
    <row r="183" spans="1:2">
      <c r="A183" t="str">
        <f>'[1]PANEL DE CONTROL'!R692</f>
        <v>W8 HIPER LIDER - CORRIDA MILO TEMUCO (VIBRIN FLEJERA STOPPER)</v>
      </c>
      <c r="B183" t="s">
        <v>1050</v>
      </c>
    </row>
    <row r="184" spans="1:2">
      <c r="A184" t="str">
        <f>'[1]PANEL DE CONTROL'!R693</f>
        <v>W8 LIDER EXPRESS - CORRIDA MILO TEMUCO (VIBRIN FLEJERA STOPPER)</v>
      </c>
      <c r="B184" t="s">
        <v>1050</v>
      </c>
    </row>
    <row r="185" spans="1:2">
      <c r="A185" t="str">
        <f>'[1]PANEL DE CONTROL'!R694</f>
        <v>W8 LIDER EXPRESS - CORRIDA MILO TEMUCO (VIBRIN FLEJERA STOPPER)</v>
      </c>
      <c r="B185" t="s">
        <v>1050</v>
      </c>
    </row>
    <row r="186" spans="1:2">
      <c r="A186" t="str">
        <f>'[1]PANEL DE CONTROL'!R695</f>
        <v>W8 LIDER EXPRESS - CORRIDA MILO TEMUCO (VIBRIN FLEJERA STOPPER)</v>
      </c>
      <c r="B186" t="s">
        <v>1050</v>
      </c>
    </row>
    <row r="187" spans="1:2">
      <c r="A187" t="str">
        <f>'[1]PANEL DE CONTROL'!R696</f>
        <v>W8 JUMBO - CORRIDA MILO TEMUCO (VIBRIN FLEJERA STOPPER)</v>
      </c>
      <c r="B187" t="s">
        <v>1050</v>
      </c>
    </row>
    <row r="188" spans="1:2">
      <c r="A188" t="str">
        <f>'[1]PANEL DE CONTROL'!R697</f>
        <v>W8 JUMBO - CORRIDA MILO TEMUCO (VIBRIN FLEJERA STOPPER)</v>
      </c>
      <c r="B188" t="s">
        <v>1050</v>
      </c>
    </row>
    <row r="189" spans="1:2">
      <c r="A189" t="str">
        <f>'[1]PANEL DE CONTROL'!R698</f>
        <v>W8 JUMBO - CORRIDA MILO TEMUCO (VIBRIN FLEJERA STOPPER)</v>
      </c>
      <c r="B189" t="s">
        <v>1050</v>
      </c>
    </row>
    <row r="190" spans="1:2">
      <c r="A190" t="str">
        <f>'[1]PANEL DE CONTROL'!R699</f>
        <v>W8 SISA - CORRIDA MILO TEMUCO (VIBRIN FLEJERA STOPPER)</v>
      </c>
      <c r="B190" t="s">
        <v>1050</v>
      </c>
    </row>
    <row r="191" spans="1:2">
      <c r="A191" t="str">
        <f>'[1]PANEL DE CONTROL'!R700</f>
        <v>W8 SISA - CORRIDA MILO TEMUCO (VIBRIN FLEJERA STOPPER)</v>
      </c>
      <c r="B191" t="s">
        <v>1050</v>
      </c>
    </row>
    <row r="192" spans="1:2">
      <c r="A192" t="str">
        <f>'[1]PANEL DE CONTROL'!R701</f>
        <v>W8 SISA - CORRIDA MILO TEMUCO (VIBRIN FLEJERA STOPPER)</v>
      </c>
      <c r="B192" t="s">
        <v>1050</v>
      </c>
    </row>
    <row r="193" spans="1:2">
      <c r="A193" t="str">
        <f>'[1]PANEL DE CONTROL'!R702</f>
        <v>W8 UNIMARC - CORRIDA MILO TEMUCO (VIBRIN FLEJERA STOPPER)</v>
      </c>
      <c r="B193" t="s">
        <v>1050</v>
      </c>
    </row>
    <row r="194" spans="1:2">
      <c r="A194" t="str">
        <f>'[1]PANEL DE CONTROL'!R703</f>
        <v>W8 UNIMARC - CORRIDA MILO TEMUCO (VIBRIN FLEJERA STOPPER)</v>
      </c>
      <c r="B194" t="s">
        <v>1050</v>
      </c>
    </row>
    <row r="195" spans="1:2">
      <c r="A195" t="str">
        <f>'[1]PANEL DE CONTROL'!R704</f>
        <v>W8 UNIMARC - CORRIDA MILO TEMUCO (VIBRIN FLEJERA STOPPER)</v>
      </c>
      <c r="B195" t="s">
        <v>1050</v>
      </c>
    </row>
    <row r="196" spans="1:2">
      <c r="A196" t="str">
        <f>'[1]PANEL DE CONTROL'!R705</f>
        <v>W13 JUMBO - GANCHERAS NESTUM (GANCHERA)</v>
      </c>
      <c r="B196" t="s">
        <v>1051</v>
      </c>
    </row>
    <row r="197" spans="1:2">
      <c r="A197" t="str">
        <f>'[1]PANEL DE CONTROL'!R706</f>
        <v>W13 HIPER LIDER - PAYLOADERS AGUA DE COCO (GRAFICA)</v>
      </c>
      <c r="B197" t="s">
        <v>1052</v>
      </c>
    </row>
    <row r="198" spans="1:2">
      <c r="A198" t="str">
        <f>'[1]PANEL DE CONTROL'!R707</f>
        <v>W13 HIPER LIDER - PAYLOADERS AGUA DE COCO (PAYLOADER)</v>
      </c>
      <c r="B198" t="s">
        <v>1052</v>
      </c>
    </row>
    <row r="199" spans="1:2">
      <c r="A199" t="str">
        <f>'[1]PANEL DE CONTROL'!R708</f>
        <v>W14 HIPER LIDER - NESTUM RELEVANCE (STOPPER)</v>
      </c>
      <c r="B199" t="s">
        <v>1051</v>
      </c>
    </row>
    <row r="200" spans="1:2">
      <c r="A200" t="str">
        <f>'[1]PANEL DE CONTROL'!R709</f>
        <v>W14 LIDER EXPRESS - NESTUM RELEVANCE (STOPPER)</v>
      </c>
      <c r="B200" t="s">
        <v>1051</v>
      </c>
    </row>
    <row r="201" spans="1:2">
      <c r="A201" t="str">
        <f>'[1]PANEL DE CONTROL'!R710</f>
        <v>W16 HIPER LIDER - CAMPAÑA TRENCITO(HOTSPOT)</v>
      </c>
      <c r="B201" t="s">
        <v>301</v>
      </c>
    </row>
    <row r="202" spans="1:2">
      <c r="A202" t="str">
        <f>'[1]PANEL DE CONTROL'!R711</f>
        <v>W16 HIPER LIDER - CAMPAÑA TRENCITO(PAYLOADER)</v>
      </c>
      <c r="B202" t="s">
        <v>301</v>
      </c>
    </row>
    <row r="203" spans="1:2">
      <c r="A203" t="str">
        <f>'[1]PANEL DE CONTROL'!R712</f>
        <v>W16 LIDER EXPRESS - CAMPAÑA TRENCITO(PAYLOADER)</v>
      </c>
      <c r="B203" t="s">
        <v>301</v>
      </c>
    </row>
    <row r="204" spans="1:2">
      <c r="A204" t="str">
        <f>'[1]PANEL DE CONTROL'!R713</f>
        <v>W16 HIPER LIDER - PAYLOADER NIDO L3 SG (PAYLOADER)</v>
      </c>
      <c r="B204" t="s">
        <v>1053</v>
      </c>
    </row>
    <row r="205" spans="1:2">
      <c r="A205" t="str">
        <f>'[1]PANEL DE CONTROL'!R714</f>
        <v>W16 UNIMARC - MATERIALES NIDO YOGOLINO (MARCO PRECIO STOPPER)</v>
      </c>
      <c r="B205" t="s">
        <v>1054</v>
      </c>
    </row>
    <row r="206" spans="1:2">
      <c r="A206" t="str">
        <f>'[1]PANEL DE CONTROL'!R715</f>
        <v>W16 UNIMARC - MATERIALES NIDO YOGOLINO (MARCO PRECIO STOPPER)</v>
      </c>
      <c r="B206" t="s">
        <v>1054</v>
      </c>
    </row>
    <row r="207" spans="1:2">
      <c r="A207" t="str">
        <f>'[1]PANEL DE CONTROL'!R716</f>
        <v>W16 TOTTUS - MATERIALES NIDO YOGOLINO (MARCO PRECIO STOPPER VIBRIN)</v>
      </c>
      <c r="B207" t="s">
        <v>1054</v>
      </c>
    </row>
    <row r="208" spans="1:2">
      <c r="A208" t="str">
        <f>'[1]PANEL DE CONTROL'!R717</f>
        <v>W16 TOTTUS - MATERIALES NIDO YOGOLINO (MARCO PRECIO STOPPER VIBRIN)</v>
      </c>
      <c r="B208" t="s">
        <v>1054</v>
      </c>
    </row>
    <row r="209" spans="1:2">
      <c r="A209" t="str">
        <f>'[1]PANEL DE CONTROL'!R718</f>
        <v>W16 TOTTUS - MATERIALES NIDO YOGOLINO (MARCO PRECIO STOPPER VIBRIN)</v>
      </c>
      <c r="B209" t="s">
        <v>1054</v>
      </c>
    </row>
    <row r="210" spans="1:2">
      <c r="A210" t="str">
        <f>'[1]PANEL DE CONTROL'!R719</f>
        <v>W20 UNIMARC - APOYO CATÁLOGO ABRIL SMU (PAYLOADER)</v>
      </c>
      <c r="B210" t="s">
        <v>1055</v>
      </c>
    </row>
    <row r="211" spans="1:2">
      <c r="A211" t="str">
        <f>'[1]PANEL DE CONTROL'!R720</f>
        <v>W20 MAYORISTA 10 - APOYO CATÁLOGO ABRIL SMU (REVESTIMIENTO)</v>
      </c>
      <c r="B211" t="s">
        <v>1055</v>
      </c>
    </row>
    <row r="212" spans="1:2">
      <c r="A212" t="str">
        <f>'[1]PANEL DE CONTROL'!R721</f>
        <v>W16 HIPER LIDER - LISTA 3 LCA (PAYLOADER)</v>
      </c>
      <c r="B212" t="s">
        <v>1056</v>
      </c>
    </row>
    <row r="213" spans="1:2">
      <c r="A213" t="str">
        <f>'[1]PANEL DE CONTROL'!R722</f>
        <v>W16 HIPER LIDER - LISTA 3 ESPECIALIDADES (PAYLOADER)</v>
      </c>
      <c r="B213" t="s">
        <v>1056</v>
      </c>
    </row>
    <row r="214" spans="1:2">
      <c r="A214" t="str">
        <f>'[1]PANEL DE CONTROL'!R723</f>
        <v>W17 TOTTUS - MATERIAL NAN OPTIPRO (MARCO PRECIO VIBRIN)</v>
      </c>
      <c r="B214" t="s">
        <v>1057</v>
      </c>
    </row>
    <row r="215" spans="1:2">
      <c r="A215" t="str">
        <f>'[1]PANEL DE CONTROL'!R724</f>
        <v>W17 HIPER LIDER - MATERIAL NAN OPTIPRO (MARCO PRECIO VIBRIN)</v>
      </c>
      <c r="B215" t="s">
        <v>1057</v>
      </c>
    </row>
    <row r="216" spans="1:2">
      <c r="A216" t="str">
        <f>'[1]PANEL DE CONTROL'!R725</f>
        <v>W17 HIPER LIDER - MATERIAL NAN OPTIPRO (MARCO PRECIO VIBRIN)</v>
      </c>
      <c r="B216" t="s">
        <v>1057</v>
      </c>
    </row>
    <row r="217" spans="1:2">
      <c r="A217" t="str">
        <f>'[1]PANEL DE CONTROL'!R726</f>
        <v>W17 LIDER EXPRESS - MATERIAL NAN OPTIPRO (MARCO PRECIO VIBRIN)</v>
      </c>
      <c r="B217" t="s">
        <v>1057</v>
      </c>
    </row>
    <row r="218" spans="1:2">
      <c r="A218" t="str">
        <f>'[1]PANEL DE CONTROL'!R727</f>
        <v>W17 LIDER EXPRESS - MATERIAL NAN OPTIPRO (MARCO PRECIO VIBRIN)</v>
      </c>
      <c r="B218" t="s">
        <v>1057</v>
      </c>
    </row>
    <row r="219" spans="1:2">
      <c r="A219" t="str">
        <f>'[1]PANEL DE CONTROL'!R728</f>
        <v>W17 JUMBO - MATERIAL NAN OPTIPRO (MARCO PRECIO VIBRIN)</v>
      </c>
      <c r="B219" t="s">
        <v>1057</v>
      </c>
    </row>
    <row r="220" spans="1:2">
      <c r="A220" t="str">
        <f>'[1]PANEL DE CONTROL'!R729</f>
        <v>W17 JUMBO - MATERIAL NAN OPTIPRO (MARCO PRECIO VIBRIN)</v>
      </c>
      <c r="B220" t="s">
        <v>1057</v>
      </c>
    </row>
    <row r="221" spans="1:2">
      <c r="A221" t="str">
        <f>'[1]PANEL DE CONTROL'!R730</f>
        <v>W17 TOTTUS - MATERIAL NAN OPTIPRO (MARCO PRECIO VIBRIN)</v>
      </c>
      <c r="B221" t="s">
        <v>1057</v>
      </c>
    </row>
    <row r="222" spans="1:2">
      <c r="A222" t="str">
        <f>'[1]PANEL DE CONTROL'!R731</f>
        <v>W16 HIPER LIDER - CAMPAÑA TRENCITO(ISLA)</v>
      </c>
      <c r="B222" t="s">
        <v>301</v>
      </c>
    </row>
    <row r="223" spans="1:2">
      <c r="A223" t="str">
        <f>'[1]PANEL DE CONTROL'!R732</f>
        <v>W18 JUMBO - GANCHERA NIDO NUTRI ESENCIAL (GANCHERA)</v>
      </c>
      <c r="B223" t="s">
        <v>1058</v>
      </c>
    </row>
    <row r="224" spans="1:2">
      <c r="A224" t="str">
        <f>'[1]PANEL DE CONTROL'!R733</f>
        <v>W18 SISA - GANCHERA NIDO NUTRI ESENCIAL (GANCHERA)</v>
      </c>
      <c r="B224" t="s">
        <v>1058</v>
      </c>
    </row>
    <row r="225" spans="1:2">
      <c r="A225" t="str">
        <f>'[1]PANEL DE CONTROL'!R734</f>
        <v>W18 SISA - PAYLOADERS S&amp;C MEGA MAGGI(PAYLOADER)</v>
      </c>
      <c r="B225" t="s">
        <v>1043</v>
      </c>
    </row>
    <row r="226" spans="1:2">
      <c r="A226" t="str">
        <f>'[1]PANEL DE CONTROL'!R735</f>
        <v>W18 SISA - PAYLOADERS S&amp;C MEGA MAGGI(STICKER QR)</v>
      </c>
      <c r="B226" t="s">
        <v>1043</v>
      </c>
    </row>
    <row r="227" spans="1:2">
      <c r="A227" t="str">
        <f>'[1]PANEL DE CONTROL'!R736</f>
        <v>W18 SISA - PAYLOADERS S&amp;C MEGA MAGGI(FLEJERA)</v>
      </c>
      <c r="B227" t="s">
        <v>1043</v>
      </c>
    </row>
    <row r="228" spans="1:2">
      <c r="A228" t="str">
        <f>'[1]PANEL DE CONTROL'!R737</f>
        <v>W22 UNIMARC - CAMPAÑA TRENCITO (ISLA)</v>
      </c>
      <c r="B228" t="s">
        <v>301</v>
      </c>
    </row>
    <row r="229" spans="1:2">
      <c r="A229" t="str">
        <f>'[1]PANEL DE CONTROL'!R738</f>
        <v>W22 UNIMARC - CAMPAÑA TRENCITO (REVESTIMIENTO CABECERA)</v>
      </c>
      <c r="B229" t="s">
        <v>301</v>
      </c>
    </row>
    <row r="230" spans="1:2">
      <c r="A230" t="str">
        <f>'[1]PANEL DE CONTROL'!R739</f>
        <v>W22 UNIMARC - CAMPAÑA TRENCITO (PAYLOADER)</v>
      </c>
      <c r="B230" t="s">
        <v>301</v>
      </c>
    </row>
    <row r="231" spans="1:2">
      <c r="A231" t="str">
        <f>'[1]PANEL DE CONTROL'!R740</f>
        <v>W21 TOTTUS - CAMPAÑA TRENCITO (ISLA)</v>
      </c>
      <c r="B231" t="s">
        <v>301</v>
      </c>
    </row>
    <row r="232" spans="1:2">
      <c r="A232" t="str">
        <f>'[1]PANEL DE CONTROL'!R741</f>
        <v>W21 TOTTUS - CAMPAÑA TRENCITO (HOTSPOT)</v>
      </c>
      <c r="B232" t="s">
        <v>301</v>
      </c>
    </row>
    <row r="233" spans="1:2">
      <c r="A233" t="str">
        <f>'[1]PANEL DE CONTROL'!R742</f>
        <v>W21 TOTTUS - CAMPAÑA TRENCITO (PAYLOADER)</v>
      </c>
      <c r="B233" t="s">
        <v>301</v>
      </c>
    </row>
    <row r="234" spans="1:2">
      <c r="A234" t="str">
        <f>'[1]PANEL DE CONTROL'!R743</f>
        <v>W20 JUMBO - MATERIALES NIDO NUTRI ESENCIAL (MARCO PRECIO VIBRIN)</v>
      </c>
      <c r="B234" t="s">
        <v>1058</v>
      </c>
    </row>
    <row r="235" spans="1:2">
      <c r="A235" t="str">
        <f>'[1]PANEL DE CONTROL'!R744</f>
        <v>W20 JUMBO - MATERIALES NIDO NUTRI ESENCIAL (MARCO PRECIO VIBRIN)</v>
      </c>
      <c r="B235" t="s">
        <v>1058</v>
      </c>
    </row>
    <row r="236" spans="1:2">
      <c r="A236" t="str">
        <f>'[1]PANEL DE CONTROL'!R745</f>
        <v>W20 SISA - MATERIALES NIDO NUTRI ESENCIAL (MARCO PRECIO VIBRIN)</v>
      </c>
      <c r="B236" t="s">
        <v>1058</v>
      </c>
    </row>
    <row r="237" spans="1:2">
      <c r="A237" t="str">
        <f>'[1]PANEL DE CONTROL'!R746</f>
        <v>W20 SISA - MATERIALES NIDO NUTRI ESENCIAL (MARCO PRECIO VIBRIN)</v>
      </c>
      <c r="B237" t="s">
        <v>1058</v>
      </c>
    </row>
    <row r="238" spans="1:2">
      <c r="A238" t="str">
        <f>'[1]PANEL DE CONTROL'!R747</f>
        <v>W21 HIPER LIDER - PAYLOADER CORRIDA MILO SANTIAGO (PAYLOADER)</v>
      </c>
      <c r="B238" t="s">
        <v>1059</v>
      </c>
    </row>
    <row r="239" spans="1:2">
      <c r="A239" t="str">
        <f>'[1]PANEL DE CONTROL'!R748</f>
        <v>W21 SISA - PAYLOADER CORRIDA MILO SANTIAGO (PAYLOADER)</v>
      </c>
      <c r="B239" t="s">
        <v>1059</v>
      </c>
    </row>
    <row r="240" spans="1:2">
      <c r="A240" t="str">
        <f>'[1]PANEL DE CONTROL'!R749</f>
        <v>W21 UNIMARC - ARCO Y PODIO CORRIDA MILO SANTIAGO (PODIO)</v>
      </c>
      <c r="B240" t="s">
        <v>1059</v>
      </c>
    </row>
    <row r="241" spans="1:2">
      <c r="A241" t="str">
        <f>'[1]PANEL DE CONTROL'!R750</f>
        <v>W21 TOTTUS - ARCO Y PODIO CORRIDA MILO SANTIAGO (PODIO)</v>
      </c>
      <c r="B241" t="s">
        <v>1059</v>
      </c>
    </row>
    <row r="242" spans="1:2">
      <c r="A242" t="str">
        <f>'[1]PANEL DE CONTROL'!R751</f>
        <v>W21 TOTTUS - ARCO Y PODIO CORRIDA MILO SANTIAGO (ARCO)</v>
      </c>
      <c r="B242" t="s">
        <v>1059</v>
      </c>
    </row>
    <row r="243" spans="1:2">
      <c r="A243" t="str">
        <f>'[1]PANEL DE CONTROL'!R752</f>
        <v>W21 HIPER LIDER - MATERIALES NIDO BAJA DE PRECIOS (STOPPER)</v>
      </c>
      <c r="B243" t="s">
        <v>1060</v>
      </c>
    </row>
    <row r="244" spans="1:2">
      <c r="A244" t="str">
        <f>'[1]PANEL DE CONTROL'!R753</f>
        <v>W21 LIDER EXPRESS - MATERIALES NIDO BAJA DE PRECIOS (STOPPER)</v>
      </c>
      <c r="B244" t="s">
        <v>1060</v>
      </c>
    </row>
    <row r="245" spans="1:2">
      <c r="A245" t="str">
        <f>'[1]PANEL DE CONTROL'!R754</f>
        <v>W22 JUMBO - MATERIALES NIDO ETAPAS BAJA DE PRECIO (MARCO PRECIO VIBRIN )</v>
      </c>
      <c r="B245" t="s">
        <v>1060</v>
      </c>
    </row>
    <row r="246" spans="1:2">
      <c r="A246" t="str">
        <f>'[1]PANEL DE CONTROL'!R755</f>
        <v>W22 JUMBO - MATERIALES NIDO ETAPAS BAJA DE PRECIO (BANDEJA EN L)</v>
      </c>
      <c r="B246" t="s">
        <v>1060</v>
      </c>
    </row>
    <row r="247" spans="1:2">
      <c r="A247" t="str">
        <f>'[1]PANEL DE CONTROL'!R756</f>
        <v>W22 JUMBO - MATERIALES NIDO ETAPAS BAJA DE PRECIO (MARCO PRECIO VIBRIN )</v>
      </c>
      <c r="B247" t="s">
        <v>1060</v>
      </c>
    </row>
    <row r="248" spans="1:2">
      <c r="A248" t="str">
        <f>'[1]PANEL DE CONTROL'!R757</f>
        <v>W22 SISA - MATERIALES NIDO ETAPAS BAJA DE PRECIO (MARCO PRECIO VIBRIN )</v>
      </c>
      <c r="B248" t="s">
        <v>1060</v>
      </c>
    </row>
    <row r="249" spans="1:2">
      <c r="A249" t="str">
        <f>'[1]PANEL DE CONTROL'!R758</f>
        <v>W22 SISA - MATERIALES NIDO ETAPAS BAJA DE PRECIO (MARCO PRECIO VIBRIN )</v>
      </c>
      <c r="B249" t="s">
        <v>1060</v>
      </c>
    </row>
    <row r="250" spans="1:2">
      <c r="A250" t="str">
        <f>'[1]PANEL DE CONTROL'!R759</f>
        <v>W22 SISA - MATERIALES NIDO ETAPAS BAJA DE PRECIO (BANDEJA EN L)</v>
      </c>
      <c r="B250" t="s">
        <v>1060</v>
      </c>
    </row>
    <row r="251" spans="1:2">
      <c r="A251" t="str">
        <f>'[1]PANEL DE CONTROL'!R760</f>
        <v>W22 HIPER LIDER -  TOTEM CORRIDA MILO (TOTEM)</v>
      </c>
      <c r="B251" t="s">
        <v>1059</v>
      </c>
    </row>
    <row r="252" spans="1:2">
      <c r="A252" t="str">
        <f>'[1]PANEL DE CONTROL'!R761</f>
        <v>W22 LIDER EXPRESS -  TOTEM CORRIDA MILO (TOTEM)</v>
      </c>
      <c r="B252" t="s">
        <v>1059</v>
      </c>
    </row>
    <row r="253" spans="1:2">
      <c r="A253" t="str">
        <f>'[1]PANEL DE CONTROL'!R762</f>
        <v>W22 JUMBO -  TOTEM CORRIDA MILO (TOTEM)</v>
      </c>
      <c r="B253" t="s">
        <v>1059</v>
      </c>
    </row>
    <row r="254" spans="1:2">
      <c r="A254" t="str">
        <f>'[1]PANEL DE CONTROL'!R763</f>
        <v>W22 SISA -  TOTEM CORRIDA MILO (TOTEM)</v>
      </c>
      <c r="B254" t="s">
        <v>1059</v>
      </c>
    </row>
    <row r="255" spans="1:2">
      <c r="A255" t="str">
        <f>'[1]PANEL DE CONTROL'!R764</f>
        <v>W22 TOTTUS -  TOTEM CORRIDA MILO (TOTEM)</v>
      </c>
      <c r="B255" t="s">
        <v>1059</v>
      </c>
    </row>
    <row r="256" spans="1:2">
      <c r="A256" t="str">
        <f>'[1]PANEL DE CONTROL'!R765</f>
        <v>W22 UNIMARC -  TOTEM CORRIDA MILO (TOTEM)</v>
      </c>
      <c r="B256" t="s">
        <v>1059</v>
      </c>
    </row>
    <row r="257" spans="1:2">
      <c r="A257" t="str">
        <f>'[1]PANEL DE CONTROL'!R766</f>
        <v>W22 ACUENTA - PAYLOADER TRENCITO(PAYLOADER)</v>
      </c>
      <c r="B257" t="s">
        <v>1061</v>
      </c>
    </row>
    <row r="258" spans="1:2">
      <c r="A258" t="str">
        <f>'[1]PANEL DE CONTROL'!R767</f>
        <v>W23 JUMBO - PAYLOADERS TRENCITO/SAHNE NUSS (PAYLOADER)</v>
      </c>
      <c r="B258" t="s">
        <v>1061</v>
      </c>
    </row>
    <row r="259" spans="1:2">
      <c r="A259" t="str">
        <f>'[1]PANEL DE CONTROL'!R768</f>
        <v>W22 TOTTUS - MATERIALES NIDO NUTRI ESENCIAL (MARCO PRECIO VIBRIN STOPPER)</v>
      </c>
      <c r="B259" t="s">
        <v>1058</v>
      </c>
    </row>
    <row r="260" spans="1:2">
      <c r="A260" t="str">
        <f>'[1]PANEL DE CONTROL'!R769</f>
        <v>W22 TOTTUS - MATERIALES NIDO NUTRI ESENCIAL (MARCO PRECIO VIBRIN STOPPER)</v>
      </c>
      <c r="B260" t="s">
        <v>1058</v>
      </c>
    </row>
    <row r="261" spans="1:2">
      <c r="A261" t="str">
        <f>'[1]PANEL DE CONTROL'!R770</f>
        <v>W22 TOTTUS - MATERIALES NIDO NUTRI ESENCIAL (BANDEJA EN L)</v>
      </c>
      <c r="B261" t="s">
        <v>1058</v>
      </c>
    </row>
    <row r="262" spans="1:2">
      <c r="A262" t="str">
        <f>'[1]PANEL DE CONTROL'!R771</f>
        <v>W22 TOTTUS - MATERIALES NIDO NUTRI ESENCIAL (MARCO PRECIO VIBRIN STOPPER)</v>
      </c>
      <c r="B262" t="s">
        <v>1058</v>
      </c>
    </row>
    <row r="263" spans="1:2">
      <c r="A263" t="str">
        <f>'[1]PANEL DE CONTROL'!R772</f>
        <v>W22 SISA - MAGGI JUNIO JULIO (PAYLOADER)</v>
      </c>
      <c r="B263" t="s">
        <v>1043</v>
      </c>
    </row>
    <row r="264" spans="1:2">
      <c r="A264" t="str">
        <f>'[1]PANEL DE CONTROL'!R773</f>
        <v>W22 SISA - MAGGI JUNIO JULIO (FLEJERA)</v>
      </c>
      <c r="B264" t="s">
        <v>1043</v>
      </c>
    </row>
    <row r="265" spans="1:2">
      <c r="A265" t="str">
        <f>'[1]PANEL DE CONTROL'!R774</f>
        <v>W23 JUMBO - NESTUM (VIBRIN)</v>
      </c>
      <c r="B265" t="s">
        <v>1062</v>
      </c>
    </row>
    <row r="266" spans="1:2">
      <c r="A266" t="str">
        <f>'[1]PANEL DE CONTROL'!R775</f>
        <v>W23 SISA - NESTUM (VIBRIN)</v>
      </c>
      <c r="B266" t="s">
        <v>1062</v>
      </c>
    </row>
    <row r="267" spans="1:2">
      <c r="A267" t="str">
        <f>'[1]PANEL DE CONTROL'!R776</f>
        <v>W23 TOTTUS - NESTUM (BANDEJA EN L)</v>
      </c>
      <c r="B267" t="s">
        <v>1062</v>
      </c>
    </row>
    <row r="268" spans="1:2">
      <c r="A268" t="str">
        <f>'[1]PANEL DE CONTROL'!R777</f>
        <v>W24 JUMBO - GANCHERAS NIDO ETAPAS BAJA DE PRECIO (GANCHERA)</v>
      </c>
      <c r="B268" t="s">
        <v>1060</v>
      </c>
    </row>
    <row r="269" spans="1:2">
      <c r="A269" t="str">
        <f>'[1]PANEL DE CONTROL'!R778</f>
        <v>W26 SSRR - CAMPAÑA TRENCITO REGIONALES(ISLA)</v>
      </c>
      <c r="B269" t="s">
        <v>301</v>
      </c>
    </row>
    <row r="270" spans="1:2">
      <c r="A270" t="str">
        <f>'[1]PANEL DE CONTROL'!R779</f>
        <v>W26 SSRR - CAMPAÑA TRENCITO REGIONALES(PAYLOADER)</v>
      </c>
      <c r="B270" t="s">
        <v>301</v>
      </c>
    </row>
    <row r="271" spans="1:2">
      <c r="A271" t="str">
        <f>'[1]PANEL DE CONTROL'!R780</f>
        <v>W26 SSRR - CAMPAÑA TRENCITO REGIONALES(REVESTIMIENTO LATERAL)</v>
      </c>
      <c r="B271" t="s">
        <v>301</v>
      </c>
    </row>
    <row r="272" spans="1:2">
      <c r="A272" t="str">
        <f>'[1]PANEL DE CONTROL'!R781</f>
        <v>W26 SSRR - CAMPAÑA TRENCITO REGIONALES(FLEJERA)</v>
      </c>
      <c r="B272" t="s">
        <v>301</v>
      </c>
    </row>
    <row r="273" spans="1:2">
      <c r="A273" t="str">
        <f>'[1]PANEL DE CONTROL'!R782</f>
        <v>W24 SISA - GANCHERAS NIDO ETAPAS BAJA DE PRECIO (GANCHERA)</v>
      </c>
      <c r="B273" t="s">
        <v>1060</v>
      </c>
    </row>
    <row r="274" spans="1:2">
      <c r="A274" t="str">
        <f>'[1]PANEL DE CONTROL'!R783</f>
        <v>W24 UNIMARC - MATERIALES ETAPAS BAJA DE PRECIO (MARCO PRECIO VIBRIN STOPPER)</v>
      </c>
      <c r="B274" t="s">
        <v>1060</v>
      </c>
    </row>
    <row r="275" spans="1:2">
      <c r="A275" t="str">
        <f>'[1]PANEL DE CONTROL'!R784</f>
        <v>W24 UNIMARC - MATERIALES ETAPAS BAJA DE PRECIO (MARCO PRECIO VIBRIN STOPPER)</v>
      </c>
      <c r="B275" t="s">
        <v>1060</v>
      </c>
    </row>
    <row r="276" spans="1:2">
      <c r="A276" t="str">
        <f>'[1]PANEL DE CONTROL'!R785</f>
        <v>W24 UNIMARC - MATERIALES ETAPAS BAJA DE PRECIO (BANDEJA EN L)</v>
      </c>
      <c r="B276" t="s">
        <v>1060</v>
      </c>
    </row>
    <row r="277" spans="1:2">
      <c r="A277" t="str">
        <f>'[1]PANEL DE CONTROL'!R786</f>
        <v>W24 UNIMARC - MATERIALES ETAPAS BAJA DE PRECIO (MARCO PRECIO VIBRIN STOPPER)</v>
      </c>
      <c r="B277" t="s">
        <v>1060</v>
      </c>
    </row>
    <row r="278" spans="1:2">
      <c r="A278" t="str">
        <f>'[1]PANEL DE CONTROL'!R787</f>
        <v>W24 HIPER LIDER - CABECERAS REFRIGERADOS (LATERAL CABECERA)</v>
      </c>
      <c r="B278" t="s">
        <v>1063</v>
      </c>
    </row>
    <row r="279" spans="1:2">
      <c r="A279" t="str">
        <f>'[1]PANEL DE CONTROL'!R788</f>
        <v>W24 UNIMARC - MATERIALES NIDO YOGOLINO (VIBRIN MANZANA VIBRIN PERA MARCO PRECIO)</v>
      </c>
      <c r="B279" t="s">
        <v>1054</v>
      </c>
    </row>
    <row r="280" spans="1:2">
      <c r="A280" t="str">
        <f>'[1]PANEL DE CONTROL'!R789</f>
        <v>W24 UNIMARC - MATERIALES NIDO YOGOLINO (VIBRIN MANZANA VIBRIN PERA MARCO PRECIO)</v>
      </c>
      <c r="B280" t="s">
        <v>1054</v>
      </c>
    </row>
    <row r="281" spans="1:2">
      <c r="A281" t="str">
        <f>'[1]PANEL DE CONTROL'!R790</f>
        <v>W24 UNIMARC - MATERIALES NIDO YOGOLINO (VIBRIN MANZANA VIBRIN PERA MARCO PRECIO)</v>
      </c>
      <c r="B281" t="s">
        <v>1054</v>
      </c>
    </row>
    <row r="282" spans="1:2">
      <c r="A282" t="str">
        <f>'[1]PANEL DE CONTROL'!R791</f>
        <v>W24 UNIMARC - MATERIALES NIDO YOGOLINO (BANDEJA EN L)</v>
      </c>
      <c r="B282" t="s">
        <v>1054</v>
      </c>
    </row>
    <row r="283" spans="1:2">
      <c r="A283" t="str">
        <f>'[1]PANEL DE CONTROL'!R792</f>
        <v>W24 TOTTUS - MATERIALES NIDO YOGOLINO (VIBRIN MANZANA VIBRIN PERA MARCO PRECIO STOPPER)</v>
      </c>
      <c r="B283" t="s">
        <v>1054</v>
      </c>
    </row>
    <row r="284" spans="1:2">
      <c r="A284" t="str">
        <f>'[1]PANEL DE CONTROL'!R793</f>
        <v>W24 TOTTUS - MATERIALES NIDO YOGOLINO (VIBRIN MANZANA VIBRIN PERA MARCO PRECIO STOPPER)</v>
      </c>
      <c r="B284" t="s">
        <v>1054</v>
      </c>
    </row>
    <row r="285" spans="1:2">
      <c r="A285" t="str">
        <f>'[1]PANEL DE CONTROL'!R794</f>
        <v>W24 TOTTUS - MATERIALES NIDO YOGOLINO (VIBRIN MANZANA VIBRIN PERA MARCO PRECIO STOPPER)</v>
      </c>
      <c r="B285" t="s">
        <v>1054</v>
      </c>
    </row>
    <row r="286" spans="1:2">
      <c r="A286" t="str">
        <f>'[1]PANEL DE CONTROL'!R795</f>
        <v>W24 TOTTUS - MATERIALES NIDO YOGOLINO (BANDEJA EN L)</v>
      </c>
      <c r="B286" t="s">
        <v>1054</v>
      </c>
    </row>
    <row r="287" spans="1:2">
      <c r="A287" t="str">
        <f>'[1]PANEL DE CONTROL'!R796</f>
        <v>W24 TOTTUS - MATERIALES NIDO YOGOLINO (VIBRIN MANZANA VIBRIN PERA MARCO PRECIO STOPPER)</v>
      </c>
      <c r="B287" t="s">
        <v>1054</v>
      </c>
    </row>
    <row r="288" spans="1:2">
      <c r="A288" t="str">
        <f>'[1]PANEL DE CONTROL'!R797</f>
        <v>W24 HIPER LIDER - MATERIALES NIDO YOGOLINO (MARCO PRECIO )</v>
      </c>
      <c r="B288" t="s">
        <v>1054</v>
      </c>
    </row>
    <row r="289" spans="1:2">
      <c r="A289" t="str">
        <f>'[1]PANEL DE CONTROL'!R798</f>
        <v>W24 HIPER LIDER - MATERIALES NIDO YOGOLINO (BANDEJA EN L)</v>
      </c>
      <c r="B289" t="s">
        <v>1054</v>
      </c>
    </row>
    <row r="290" spans="1:2">
      <c r="A290" t="str">
        <f>'[1]PANEL DE CONTROL'!R799</f>
        <v>W24 LIDER EXPRESS - MATERIALES NIDO YOGOLINO (MARCO PRECIO )</v>
      </c>
      <c r="B290" t="s">
        <v>1054</v>
      </c>
    </row>
    <row r="291" spans="1:2">
      <c r="A291" t="str">
        <f>'[1]PANEL DE CONTROL'!R800</f>
        <v>W24 LIDER EXPRESS - MATERIALES NIDO YOGOLINO (BANDEJA EN L)</v>
      </c>
      <c r="B291" t="s">
        <v>1054</v>
      </c>
    </row>
    <row r="292" spans="1:2">
      <c r="A292" t="str">
        <f>'[1]PANEL DE CONTROL'!R801</f>
        <v>W24 SSRR - CONCURSO NATURNES (TRICICLO)</v>
      </c>
      <c r="B292" t="s">
        <v>1064</v>
      </c>
    </row>
    <row r="293" spans="1:2">
      <c r="A293" t="str">
        <f>'[1]PANEL DE CONTROL'!R802</f>
        <v>W24 SSRR - CONCURSO NATURNES (BUZON)</v>
      </c>
      <c r="B293" t="s">
        <v>1064</v>
      </c>
    </row>
    <row r="294" spans="1:2">
      <c r="A294" t="str">
        <f>'[1]PANEL DE CONTROL'!R803</f>
        <v>W24 SSRR - CONCURSO NATURNES (PAYLOADER)</v>
      </c>
      <c r="B294" t="s">
        <v>1064</v>
      </c>
    </row>
    <row r="295" spans="1:2">
      <c r="A295" t="str">
        <f>'[1]PANEL DE CONTROL'!R804</f>
        <v>W24 SSRR - CONCURSO NATURNES (FLEJERA EN L)</v>
      </c>
      <c r="B295" t="s">
        <v>1064</v>
      </c>
    </row>
    <row r="296" spans="1:2">
      <c r="A296" t="str">
        <f>'[1]PANEL DE CONTROL'!R805</f>
        <v>W24 SSRR - CONCURSO NATURNES (STOPPER VIBRIN MARCO PRECIO)</v>
      </c>
      <c r="B296" t="s">
        <v>1064</v>
      </c>
    </row>
    <row r="297" spans="1:2">
      <c r="A297" t="str">
        <f>'[1]PANEL DE CONTROL'!R806</f>
        <v>W24 SSRR - CONCURSO NATURNES (STOPPER VIBRIN MARCO PRECIO)</v>
      </c>
      <c r="B297" t="s">
        <v>1064</v>
      </c>
    </row>
    <row r="298" spans="1:2">
      <c r="A298" t="str">
        <f>'[1]PANEL DE CONTROL'!R807</f>
        <v>W24 SSRR - CONCURSO NATURNES (STOPPER VIBRIN MARCO PRECIO)</v>
      </c>
      <c r="B298" t="s">
        <v>1064</v>
      </c>
    </row>
    <row r="299" spans="1:2">
      <c r="A299" t="str">
        <f>'[1]PANEL DE CONTROL'!R808</f>
        <v>W24 SSRR - CONCURSO NATURNES (TOTEM)</v>
      </c>
      <c r="B299" t="s">
        <v>1064</v>
      </c>
    </row>
    <row r="300" spans="1:2">
      <c r="A300" t="str">
        <f>'[1]PANEL DE CONTROL'!R809</f>
        <v>W25 HIPER LIDER - PAYLOADER MILO LISTA 4(PAYLOADER)</v>
      </c>
      <c r="B300" t="s">
        <v>1065</v>
      </c>
    </row>
    <row r="301" spans="1:2">
      <c r="A301" t="str">
        <f>'[1]PANEL DE CONTROL'!R810</f>
        <v>W25 HIPER LIDER - PAYLOADER NIDO LISTA 4 (PAYLOADER)</v>
      </c>
      <c r="B301" t="s">
        <v>1065</v>
      </c>
    </row>
    <row r="302" spans="1:2">
      <c r="A302" t="str">
        <f>'[1]PANEL DE CONTROL'!R811</f>
        <v>W25 UNIMARC - CATÁLOGO JUNIO (REVESTIMIENTO KUKY)</v>
      </c>
      <c r="B302" t="s">
        <v>1066</v>
      </c>
    </row>
    <row r="303" spans="1:2">
      <c r="A303" t="str">
        <f>'[1]PANEL DE CONTROL'!R812</f>
        <v>W25 UNIMARC - CATÁLOGO JUNIO (REVESTIMIENTO CRIOLLITA)</v>
      </c>
      <c r="B303" t="s">
        <v>1066</v>
      </c>
    </row>
    <row r="304" spans="1:2">
      <c r="A304" t="str">
        <f>'[1]PANEL DE CONTROL'!R813</f>
        <v>W25 UNIMARC - CATÁLOGO JUNIO (MINI PAYLOADER)</v>
      </c>
      <c r="B304" t="s">
        <v>1066</v>
      </c>
    </row>
    <row r="305" spans="1:2">
      <c r="A305" t="str">
        <f>'[1]PANEL DE CONTROL'!R814</f>
        <v>W26 SSRR - MATERIAL POP CONCURSO NESCAFE (BUZON)</v>
      </c>
      <c r="B305" t="s">
        <v>1067</v>
      </c>
    </row>
    <row r="306" spans="1:2">
      <c r="A306" t="str">
        <f>'[1]PANEL DE CONTROL'!R815</f>
        <v>W26 SSRR - MATERIAL POP CONCURSO NESCAFE (STOPPER VIBRIN)</v>
      </c>
      <c r="B306" t="s">
        <v>1067</v>
      </c>
    </row>
    <row r="307" spans="1:2">
      <c r="A307" t="str">
        <f>'[1]PANEL DE CONTROL'!R816</f>
        <v>W26 SSRR - MATERIAL POP CONCURSO NESCAFE (STOPPER VIBRIN)</v>
      </c>
      <c r="B307" t="s">
        <v>1067</v>
      </c>
    </row>
    <row r="308" spans="1:2">
      <c r="A308" t="str">
        <f>'[1]PANEL DE CONTROL'!R817</f>
        <v>W26 SSRR - MATERIAL POP CONCURSO NESCAFE (BANDEJA EN L)</v>
      </c>
      <c r="B308" t="s">
        <v>1067</v>
      </c>
    </row>
    <row r="309" spans="1:2">
      <c r="A309" t="str">
        <f>'[1]PANEL DE CONTROL'!R818</f>
        <v>W26 SSRR - MATERIAL POP CONCURSO NESCAFE (CUPONES)</v>
      </c>
      <c r="B309" t="s">
        <v>1067</v>
      </c>
    </row>
    <row r="310" spans="1:2">
      <c r="A310" t="str">
        <f>'[1]PANEL DE CONTROL'!R819</f>
        <v>W26 SSRR - MATERIAL POP CONCURSO MAGGI (BUZON)</v>
      </c>
      <c r="B310" t="s">
        <v>1068</v>
      </c>
    </row>
    <row r="311" spans="1:2">
      <c r="A311" t="str">
        <f>'[1]PANEL DE CONTROL'!R820</f>
        <v>W26 SSRR - MATERIAL POP CONCURSO MAGGI (STOPPER VIBRIN)</v>
      </c>
      <c r="B311" t="s">
        <v>1068</v>
      </c>
    </row>
    <row r="312" spans="1:2">
      <c r="A312" t="str">
        <f>'[1]PANEL DE CONTROL'!R821</f>
        <v>W26 SSRR - MATERIAL POP CONCURSO MAGGI (STOPPER VIBRIN)</v>
      </c>
      <c r="B312" t="s">
        <v>1068</v>
      </c>
    </row>
    <row r="313" spans="1:2">
      <c r="A313" t="str">
        <f>'[1]PANEL DE CONTROL'!R822</f>
        <v>W26 SSRR - MATERIAL POP CONCURSO MAGGI (BANDEJA EN L)</v>
      </c>
      <c r="B313" t="s">
        <v>1068</v>
      </c>
    </row>
    <row r="314" spans="1:2">
      <c r="A314" t="str">
        <f>'[1]PANEL DE CONTROL'!R823</f>
        <v>W26 SSRR - MATERIAL POP CONCURSO MAGGI (CUPONES)</v>
      </c>
      <c r="B314" t="s">
        <v>1068</v>
      </c>
    </row>
    <row r="315" spans="1:2">
      <c r="A315" t="str">
        <f>'[1]PANEL DE CONTROL'!R824</f>
        <v>W26 SSRR - MATERIAL POP CONCURSO NESCAFE (ISLA)</v>
      </c>
      <c r="B315" t="s">
        <v>1067</v>
      </c>
    </row>
    <row r="316" spans="1:2">
      <c r="A316" t="str">
        <f>'[1]PANEL DE CONTROL'!R825</f>
        <v>W25 HIPER LIDER - LISTA 4 PAYLOADERS SN TRENCITO (PAYLOADER)</v>
      </c>
      <c r="B316" t="s">
        <v>1061</v>
      </c>
    </row>
    <row r="317" spans="1:2">
      <c r="A317" t="str">
        <f>'[1]PANEL DE CONTROL'!R826</f>
        <v>W26 JUMBO - STOPPERS BOMBONES(STOPPER)</v>
      </c>
      <c r="B317" t="s">
        <v>1069</v>
      </c>
    </row>
    <row r="318" spans="1:2">
      <c r="A318" t="str">
        <f>'[1]PANEL DE CONTROL'!R827</f>
        <v>W26 SSRR - MATERIAL POP CONCURSO MAGGI (ISLA)</v>
      </c>
      <c r="B318" t="s">
        <v>1068</v>
      </c>
    </row>
    <row r="319" spans="1:2">
      <c r="A319" t="str">
        <f>'[1]PANEL DE CONTROL'!R828</f>
        <v>W26 SSRR - HOTSPOT TRENCITO (HOTSPOT)</v>
      </c>
      <c r="B319" t="s">
        <v>301</v>
      </c>
    </row>
    <row r="320" spans="1:2">
      <c r="A320" t="str">
        <f>'[1]PANEL DE CONTROL'!R829</f>
        <v>W27 HIPER LIDER - CONCURSO SAHNENUSS 100 AÑOS (METRO TREND)</v>
      </c>
      <c r="B320" t="s">
        <v>1070</v>
      </c>
    </row>
    <row r="321" spans="1:2">
      <c r="A321" t="str">
        <f>'[1]PANEL DE CONTROL'!R830</f>
        <v>W27 HIPER LIDER - CONCURSO SAHNENUSS 100 AÑOS (ISLA)</v>
      </c>
      <c r="B321" t="s">
        <v>1070</v>
      </c>
    </row>
    <row r="322" spans="1:2">
      <c r="A322" t="str">
        <f>'[1]PANEL DE CONTROL'!R831</f>
        <v>W27 HIPER LIDER - CONCURSO SAHNENUSS 100 AÑOS (STOPPER)</v>
      </c>
      <c r="B322" t="s">
        <v>1070</v>
      </c>
    </row>
    <row r="323" spans="1:2">
      <c r="A323" t="str">
        <f>'[1]PANEL DE CONTROL'!R832</f>
        <v>W28 JUMBO - GANCHERAS MILO (GANCHERA)</v>
      </c>
      <c r="B323" t="s">
        <v>1036</v>
      </c>
    </row>
    <row r="324" spans="1:2">
      <c r="A324" t="str">
        <f>'[1]PANEL DE CONTROL'!R833</f>
        <v>W28 SISA - GANCHERAS MILO (GANCHERA)</v>
      </c>
      <c r="B324" t="s">
        <v>1036</v>
      </c>
    </row>
    <row r="325" spans="1:2">
      <c r="A325" t="str">
        <f>'[1]PANEL DE CONTROL'!R834</f>
        <v>W29 HIPER LIDER - RECETAS NESTLÉ (ISLA)</v>
      </c>
      <c r="B325" t="s">
        <v>1071</v>
      </c>
    </row>
    <row r="326" spans="1:2">
      <c r="A326" t="str">
        <f>'[1]PANEL DE CONTROL'!R835</f>
        <v>W29 HIPER LIDER - RECETAS NESTLÉ (ISLA)</v>
      </c>
      <c r="B326" t="s">
        <v>1071</v>
      </c>
    </row>
    <row r="327" spans="1:2">
      <c r="A327" t="str">
        <f>'[1]PANEL DE CONTROL'!R836</f>
        <v>W29 HIPER LIDER - RECETAS NESTLÉ (ISLA)</v>
      </c>
      <c r="B327" t="s">
        <v>1071</v>
      </c>
    </row>
    <row r="328" spans="1:2">
      <c r="A328" t="str">
        <f>'[1]PANEL DE CONTROL'!R837</f>
        <v>W29 HIPER LIDER - RECETAS NESTLÉ (ISLA)</v>
      </c>
      <c r="B328" t="s">
        <v>1071</v>
      </c>
    </row>
    <row r="329" spans="1:2">
      <c r="A329" t="str">
        <f>'[1]PANEL DE CONTROL'!R838</f>
        <v>W29 HIPER LIDER - RECETAS NESTLÉ (ISLA)</v>
      </c>
      <c r="B329" t="s">
        <v>1071</v>
      </c>
    </row>
    <row r="330" spans="1:2">
      <c r="A330" t="str">
        <f>'[1]PANEL DE CONTROL'!R839</f>
        <v>W29 HIPER LIDER - RECETAS NESTLÉ (ISLA)</v>
      </c>
      <c r="B330" t="s">
        <v>1071</v>
      </c>
    </row>
    <row r="331" spans="1:2">
      <c r="A331" t="str">
        <f>'[1]PANEL DE CONTROL'!R840</f>
        <v>W28 TOTTUS - MATERIALES NIDO 300G (MARCO PRECIO VIBRIN STOPPER)</v>
      </c>
      <c r="B331" t="s">
        <v>1072</v>
      </c>
    </row>
    <row r="332" spans="1:2">
      <c r="A332" t="str">
        <f>'[1]PANEL DE CONTROL'!R841</f>
        <v>W28 TOTTUS - MATERIALES NIDO 300G (MARCO PRECIO VIBRIN STOPPER)</v>
      </c>
      <c r="B332" t="s">
        <v>1072</v>
      </c>
    </row>
    <row r="333" spans="1:2">
      <c r="A333" t="str">
        <f>'[1]PANEL DE CONTROL'!R842</f>
        <v>W28 TOTTUS - MATERIALES NIDO 300G (FLEJERA EN L)</v>
      </c>
      <c r="B333" t="s">
        <v>1072</v>
      </c>
    </row>
    <row r="334" spans="1:2">
      <c r="A334" t="str">
        <f>'[1]PANEL DE CONTROL'!R843</f>
        <v>W28 TOTTUS - MATERIALES NIDO 300G (MARCO PRECIO VIBRIN STOPPER)</v>
      </c>
      <c r="B334" t="s">
        <v>1072</v>
      </c>
    </row>
    <row r="335" spans="1:2">
      <c r="A335" t="str">
        <f>'[1]PANEL DE CONTROL'!R844</f>
        <v>W28 TOTTUS - MATERIALES SVELTY 300G (MARCO PRECIO VIBRIN STOPPER)</v>
      </c>
      <c r="B335" t="s">
        <v>1073</v>
      </c>
    </row>
    <row r="336" spans="1:2">
      <c r="A336" t="str">
        <f>'[1]PANEL DE CONTROL'!R845</f>
        <v>W28 TOTTUS - MATERIALES SVELTY 300G (MARCO PRECIO VIBRIN STOPPER)</v>
      </c>
      <c r="B336" t="s">
        <v>1073</v>
      </c>
    </row>
    <row r="337" spans="1:2">
      <c r="A337" t="str">
        <f>'[1]PANEL DE CONTROL'!R846</f>
        <v>W28 TOTTUS - MATERIALES SVELTY 300G (FLEJERA EN L)</v>
      </c>
      <c r="B337" t="s">
        <v>1073</v>
      </c>
    </row>
    <row r="338" spans="1:2">
      <c r="A338" t="str">
        <f>'[1]PANEL DE CONTROL'!R847</f>
        <v>W29 HIPER LIDER - MES DE LA DULZURA (ISLA)</v>
      </c>
      <c r="B338" t="s">
        <v>298</v>
      </c>
    </row>
    <row r="339" spans="1:2">
      <c r="A339" t="str">
        <f>'[1]PANEL DE CONTROL'!R848</f>
        <v>W30 HIPER LIDER - MATERIAL LA CREMERÍA (HUINCHA COOLER)</v>
      </c>
      <c r="B339" t="s">
        <v>1025</v>
      </c>
    </row>
    <row r="340" spans="1:2">
      <c r="A340" t="str">
        <f>'[1]PANEL DE CONTROL'!R849</f>
        <v>W30 HIPER LIDER - MATERIAL LA CREMERÍA (CHUPON)</v>
      </c>
      <c r="B340" t="s">
        <v>1025</v>
      </c>
    </row>
    <row r="341" spans="1:2">
      <c r="A341" t="str">
        <f>'[1]PANEL DE CONTROL'!R850</f>
        <v>W30 HIPER LIDER - MATERIAL LA CREMERÍA (SEPARADOR XL)</v>
      </c>
      <c r="B341" t="s">
        <v>1025</v>
      </c>
    </row>
    <row r="342" spans="1:2">
      <c r="A342" t="str">
        <f>'[1]PANEL DE CONTROL'!R851</f>
        <v>W30 HIPER LIDER - MATERIAL LA CREMERÍA (COLGANTE)</v>
      </c>
      <c r="B342" t="s">
        <v>1025</v>
      </c>
    </row>
    <row r="343" spans="1:2">
      <c r="A343" t="str">
        <f>'[1]PANEL DE CONTROL'!R852</f>
        <v>W30 HIPER LIDER - MATERIAL BEBIDA ORIGINAL NH (PAYLOADER)</v>
      </c>
      <c r="B343" t="s">
        <v>1074</v>
      </c>
    </row>
    <row r="344" spans="1:2">
      <c r="A344" t="str">
        <f>'[1]PANEL DE CONTROL'!R853</f>
        <v>W30 HIPER LIDER - MATERIAL BEBIDA ORIGINAL NH (STOPPER)</v>
      </c>
      <c r="B344" t="s">
        <v>1074</v>
      </c>
    </row>
    <row r="345" spans="1:2">
      <c r="A345" t="str">
        <f>'[1]PANEL DE CONTROL'!R854</f>
        <v>W30 JUMBO - TRENCITO (REVESTIMIENTO LATERAL)</v>
      </c>
      <c r="B345" t="s">
        <v>1075</v>
      </c>
    </row>
    <row r="346" spans="1:2">
      <c r="A346" t="str">
        <f>'[1]PANEL DE CONTROL'!R855</f>
        <v>W30 JUMBO - TRENCITO (ISLA)</v>
      </c>
      <c r="B346" t="s">
        <v>1075</v>
      </c>
    </row>
    <row r="347" spans="1:2">
      <c r="A347" t="str">
        <f>'[1]PANEL DE CONTROL'!R856</f>
        <v>W30 JUMBO - TRENCITO (GANCHERA)</v>
      </c>
      <c r="B347" t="s">
        <v>1075</v>
      </c>
    </row>
    <row r="348" spans="1:2">
      <c r="A348" t="str">
        <f>'[1]PANEL DE CONTROL'!R857</f>
        <v>W30 HIPER LIDER - PAYLOADER NIDO NUTRI ESENCIAL (PAYLOADER)</v>
      </c>
      <c r="B348" t="s">
        <v>1058</v>
      </c>
    </row>
    <row r="349" spans="1:2">
      <c r="A349" t="str">
        <f>'[1]PANEL DE CONTROL'!R858</f>
        <v>W31 SISA - DULCE GUSTITO (BOTADERO)</v>
      </c>
      <c r="B349" t="s">
        <v>1076</v>
      </c>
    </row>
    <row r="350" spans="1:2">
      <c r="A350" t="str">
        <f>'[1]PANEL DE CONTROL'!R859</f>
        <v>W31 SISA - DULCE GUSTITO (PEDESTAL)</v>
      </c>
      <c r="B350" t="s">
        <v>1076</v>
      </c>
    </row>
    <row r="351" spans="1:2">
      <c r="A351" t="str">
        <f>'[1]PANEL DE CONTROL'!R860</f>
        <v>W29 HIPER LIDER - MES DE LA DULZURA (PAYLOADER)</v>
      </c>
      <c r="B351" t="s">
        <v>298</v>
      </c>
    </row>
    <row r="352" spans="1:2">
      <c r="A352" t="str">
        <f>'[1]PANEL DE CONTROL'!R861</f>
        <v>W30 HIPER LIDER -  REVESTIMIENTO NIDO 300G (REVESTIMIENTO)</v>
      </c>
      <c r="B352" t="s">
        <v>1072</v>
      </c>
    </row>
    <row r="353" spans="1:2">
      <c r="A353" t="str">
        <f>'[1]PANEL DE CONTROL'!R862</f>
        <v>W30 HIPER LIDER -  REVESTIMIENTO SVELTY 300G (REVESTIMIENTO)</v>
      </c>
      <c r="B353" t="s">
        <v>1073</v>
      </c>
    </row>
    <row r="354" spans="1:2">
      <c r="A354" t="str">
        <f>'[1]PANEL DE CONTROL'!R863</f>
        <v>W35 SSRR - DULCE CHILENIDAD (REVESTIMIENTO)</v>
      </c>
      <c r="B354" t="s">
        <v>308</v>
      </c>
    </row>
    <row r="355" spans="1:2">
      <c r="A355" t="str">
        <f>'[1]PANEL DE CONTROL'!R864</f>
        <v>W35 SSRR - DULCE CHILENIDAD (LATERAL DE CABECERA)</v>
      </c>
      <c r="B355" t="s">
        <v>308</v>
      </c>
    </row>
    <row r="356" spans="1:2">
      <c r="A356" t="str">
        <f>'[1]PANEL DE CONTROL'!R865</f>
        <v>W35 SSRR - DULCE CHILENIDAD (PAYLOADER)</v>
      </c>
      <c r="B356" t="s">
        <v>308</v>
      </c>
    </row>
    <row r="357" spans="1:2">
      <c r="A357" t="str">
        <f>'[1]PANEL DE CONTROL'!R866</f>
        <v>W34 UNIMARC - CHANDELLE (CHUPON)</v>
      </c>
      <c r="B357" t="s">
        <v>277</v>
      </c>
    </row>
    <row r="358" spans="1:2">
      <c r="A358" t="str">
        <f>'[1]PANEL DE CONTROL'!R867</f>
        <v>W35 JUMBO - NESCAFÉ MIXES (GANCHERA)</v>
      </c>
      <c r="B358" t="s">
        <v>1077</v>
      </c>
    </row>
    <row r="359" spans="1:2">
      <c r="A359" t="str">
        <f>'[1]PANEL DE CONTROL'!R868</f>
        <v>W35 TOTTUS - NESCAFÉ MIXES (STOPPER)</v>
      </c>
      <c r="B359" t="s">
        <v>1077</v>
      </c>
    </row>
    <row r="360" spans="1:2">
      <c r="A360" t="str">
        <f>'[1]PANEL DE CONTROL'!R869</f>
        <v>W34 UNIMARC - NESCAFÉ MIXES (GANCHERA)</v>
      </c>
      <c r="B360" t="s">
        <v>1077</v>
      </c>
    </row>
    <row r="361" spans="1:2">
      <c r="A361" t="str">
        <f>'[1]PANEL DE CONTROL'!R870</f>
        <v>W34 UNIMARC - NESCAFÉ MIXES (STOPPER)</v>
      </c>
      <c r="B361" t="s">
        <v>1077</v>
      </c>
    </row>
    <row r="362" spans="1:2">
      <c r="A362" t="str">
        <f>'[1]PANEL DE CONTROL'!R871</f>
        <v>W33 HIPER LIDER - NESCAFÉ MIXES (STOPPER)</v>
      </c>
      <c r="B362" t="s">
        <v>1077</v>
      </c>
    </row>
    <row r="363" spans="1:2">
      <c r="A363" t="str">
        <f>'[1]PANEL DE CONTROL'!R872</f>
        <v>W33 HIPER LIDER - NESCAFÉ MIXES (METRO TREND)</v>
      </c>
      <c r="B363" t="s">
        <v>1077</v>
      </c>
    </row>
    <row r="364" spans="1:2">
      <c r="A364" t="str">
        <f>'[1]PANEL DE CONTROL'!R873</f>
        <v>W33 LIDER EXPRESS - NESCAFÉ MIXES (STOPPER)</v>
      </c>
      <c r="B364" t="s">
        <v>1077</v>
      </c>
    </row>
    <row r="365" spans="1:2">
      <c r="A365" t="str">
        <f>'[1]PANEL DE CONTROL'!R874</f>
        <v>W33 LIDER EXPRESS - NESCAFÉ MIXES (METRO TREND)</v>
      </c>
      <c r="B365" t="s">
        <v>1077</v>
      </c>
    </row>
    <row r="366" spans="1:2">
      <c r="A366" t="str">
        <f>'[1]PANEL DE CONTROL'!R875</f>
        <v>W32 JUMBO - PLAN PIÑA (VIBRIN)</v>
      </c>
      <c r="B366" t="s">
        <v>1078</v>
      </c>
    </row>
    <row r="367" spans="1:2">
      <c r="A367" t="str">
        <f>'[1]PANEL DE CONTROL'!R876</f>
        <v>W32 SISA - PLAN PIÑA (VIBRIN)</v>
      </c>
      <c r="B367" t="s">
        <v>1078</v>
      </c>
    </row>
    <row r="368" spans="1:2">
      <c r="A368" t="str">
        <f>'[1]PANEL DE CONTROL'!R877</f>
        <v>W32 SISA - PLAN PIÑA (LOMO NAVE)</v>
      </c>
      <c r="B368" t="s">
        <v>1078</v>
      </c>
    </row>
    <row r="369" spans="1:2">
      <c r="A369" t="str">
        <f>'[1]PANEL DE CONTROL'!R878</f>
        <v>W33 UNIMARC - PLAN PIÑA (STOPPER VIBRIN)</v>
      </c>
      <c r="B369" t="s">
        <v>1078</v>
      </c>
    </row>
    <row r="370" spans="1:2">
      <c r="A370" t="str">
        <f>'[1]PANEL DE CONTROL'!R879</f>
        <v>W33 UNIMARC - PLAN PIÑA (STOPPER VIBRIN)</v>
      </c>
      <c r="B370" t="s">
        <v>1078</v>
      </c>
    </row>
    <row r="371" spans="1:2">
      <c r="A371" t="str">
        <f>'[1]PANEL DE CONTROL'!R880</f>
        <v>W34 SSRR - PLAN PIÑA (PREMIO)</v>
      </c>
      <c r="B371" t="s">
        <v>1078</v>
      </c>
    </row>
    <row r="372" spans="1:2">
      <c r="A372" t="str">
        <f>'[1]PANEL DE CONTROL'!R881</f>
        <v>W34 SSRR - PLAN PIÑA (PENDON)</v>
      </c>
      <c r="B372" t="s">
        <v>1078</v>
      </c>
    </row>
    <row r="373" spans="1:2">
      <c r="A373" t="str">
        <f>'[1]PANEL DE CONTROL'!R882</f>
        <v>W34 SSRR - PLAN PIÑA (STOPPER VIBRIN)</v>
      </c>
      <c r="B373" t="s">
        <v>1078</v>
      </c>
    </row>
    <row r="374" spans="1:2">
      <c r="A374" t="str">
        <f>'[1]PANEL DE CONTROL'!R883</f>
        <v>W34 SSRR - PLAN PIÑA (STOPPER VIBRIN)</v>
      </c>
      <c r="B374" t="s">
        <v>1078</v>
      </c>
    </row>
    <row r="375" spans="1:2">
      <c r="A375" t="str">
        <f>'[1]PANEL DE CONTROL'!R884</f>
        <v>W34 SSRR - PLAN PIÑA (LOMO NAVE)</v>
      </c>
      <c r="B375" t="s">
        <v>1078</v>
      </c>
    </row>
    <row r="376" spans="1:2">
      <c r="A376" t="str">
        <f>'[1]PANEL DE CONTROL'!R885</f>
        <v>W35 TOTTUS - PLAN PIÑA (STOPPER)</v>
      </c>
      <c r="B376" t="s">
        <v>1078</v>
      </c>
    </row>
    <row r="377" spans="1:2">
      <c r="A377" t="str">
        <f>'[1]PANEL DE CONTROL'!R886</f>
        <v>W35 TOTTUS - PLAN PIÑA (ARCO)</v>
      </c>
      <c r="B377" t="s">
        <v>1078</v>
      </c>
    </row>
    <row r="378" spans="1:2">
      <c r="A378" t="str">
        <f>'[1]PANEL DE CONTROL'!R887</f>
        <v>W35 TOTTUS - PLAN PIÑA (CUBREALARMA)</v>
      </c>
      <c r="B378" t="s">
        <v>1078</v>
      </c>
    </row>
    <row r="379" spans="1:2">
      <c r="A379" t="str">
        <f>'[1]PANEL DE CONTROL'!R888</f>
        <v>W35 TOTTUS - PLAN PIÑA (VIBRIN)</v>
      </c>
      <c r="B379" t="s">
        <v>1078</v>
      </c>
    </row>
    <row r="380" spans="1:2">
      <c r="A380" t="str">
        <f>'[1]PANEL DE CONTROL'!R889</f>
        <v>W33 HIPER LIDER - PLAN PIÑA (STOPPER SAVORY)</v>
      </c>
      <c r="B380" t="s">
        <v>1078</v>
      </c>
    </row>
    <row r="381" spans="1:2">
      <c r="A381" t="str">
        <f>'[1]PANEL DE CONTROL'!R890</f>
        <v>W33 HIPER LIDER - PLAN PIÑA (STOPPER CHAMONIX)</v>
      </c>
      <c r="B381" t="s">
        <v>1078</v>
      </c>
    </row>
    <row r="382" spans="1:2">
      <c r="A382" t="str">
        <f>'[1]PANEL DE CONTROL'!R891</f>
        <v>W33 HIPER LIDER - PLAN PIÑA (LATERAL CABECERA)</v>
      </c>
      <c r="B382" t="s">
        <v>1078</v>
      </c>
    </row>
    <row r="383" spans="1:2">
      <c r="A383" t="str">
        <f>'[1]PANEL DE CONTROL'!R892</f>
        <v>W39 TOTTUS - DULCE CHILENIDAD (REVESTIMIENTO)</v>
      </c>
      <c r="B383" t="s">
        <v>308</v>
      </c>
    </row>
    <row r="384" spans="1:2">
      <c r="A384" t="str">
        <f>'[1]PANEL DE CONTROL'!R893</f>
        <v>W39 MAYORISTA 10 - DULCE CHILENIDAD (REVESTIMIENTO)</v>
      </c>
      <c r="B384" t="s">
        <v>308</v>
      </c>
    </row>
    <row r="385" spans="1:2">
      <c r="A385" t="str">
        <f>'[1]PANEL DE CONTROL'!R894</f>
        <v>W39 ALVI - DULCE CHILENIDAD (REVESTIMIENTO)</v>
      </c>
      <c r="B385" t="s">
        <v>308</v>
      </c>
    </row>
    <row r="386" spans="1:2">
      <c r="A386" t="str">
        <f>'[1]PANEL DE CONTROL'!R895</f>
        <v>W35 SSRR - NIDO 300G (VIBRIN MARCO PRECIO)</v>
      </c>
      <c r="B386" t="s">
        <v>1072</v>
      </c>
    </row>
    <row r="387" spans="1:2">
      <c r="A387" t="str">
        <f>'[1]PANEL DE CONTROL'!R896</f>
        <v>W35 SSRR - NIDO 300G (BANDEJA EN L)</v>
      </c>
      <c r="B387" t="s">
        <v>1072</v>
      </c>
    </row>
    <row r="388" spans="1:2">
      <c r="A388" t="str">
        <f>'[1]PANEL DE CONTROL'!R897</f>
        <v>W35 SSRR - NIDO 300G (VIBRIN MARCO PRECIO)</v>
      </c>
      <c r="B388" t="s">
        <v>1072</v>
      </c>
    </row>
    <row r="389" spans="1:2">
      <c r="A389" t="str">
        <f>'[1]PANEL DE CONTROL'!R898</f>
        <v>W35 HIPER LIDER - LISTA 5 NIDO (PAYLOADER)</v>
      </c>
      <c r="B389" t="s">
        <v>1079</v>
      </c>
    </row>
    <row r="390" spans="1:2">
      <c r="A390" t="str">
        <f>'[1]PANEL DE CONTROL'!R899</f>
        <v>W30 SSRR - MATERIALES NIDO YOGOLINO (VIBRIN MANZANA  VIBRIN PERA MARCO PRECIO STOPPER)</v>
      </c>
      <c r="B390" t="s">
        <v>1080</v>
      </c>
    </row>
    <row r="391" spans="1:2">
      <c r="A391" t="str">
        <f>'[1]PANEL DE CONTROL'!R900</f>
        <v>W30 SSRR - MATERIALES NIDO YOGOLINO (VIBRIN MANZANA  VIBRIN PERA MARCO PRECIO STOPPER)</v>
      </c>
      <c r="B391" t="s">
        <v>1080</v>
      </c>
    </row>
    <row r="392" spans="1:2">
      <c r="A392" t="str">
        <f>'[1]PANEL DE CONTROL'!R901</f>
        <v>W30 SSRR - MATERIALES NIDO YOGOLINO (VIBRIN MANZANA  VIBRIN PERA MARCO PRECIO STOPPER)</v>
      </c>
      <c r="B392" t="s">
        <v>1080</v>
      </c>
    </row>
    <row r="393" spans="1:2">
      <c r="A393" t="str">
        <f>'[1]PANEL DE CONTROL'!R902</f>
        <v>W30 SSRR - MATERIALES NIDO YOGOLINO (BANDEJA EN L)</v>
      </c>
      <c r="B393" t="s">
        <v>1080</v>
      </c>
    </row>
    <row r="394" spans="1:2">
      <c r="A394" t="str">
        <f>'[1]PANEL DE CONTROL'!R903</f>
        <v>W30 SSRR - MATERIALES NIDO YOGOLINO (VIBRIN MANZANA  VIBRIN PERA MARCO PRECIO STOPPER)</v>
      </c>
      <c r="B394" t="s">
        <v>1080</v>
      </c>
    </row>
    <row r="395" spans="1:2">
      <c r="A395" t="str">
        <f>'[1]PANEL DE CONTROL'!R904</f>
        <v>W30 SSRR - MATERIALES NIDO YOGOLINO (VIBRIN MANZANA  VIBRIN PERA MARCO PRECIO STOPPER)</v>
      </c>
      <c r="B395" t="s">
        <v>1080</v>
      </c>
    </row>
    <row r="396" spans="1:2">
      <c r="A396" t="str">
        <f>'[1]PANEL DE CONTROL'!R905</f>
        <v>W30 SSRR - MATERIALES NIDO 300G (MARCO PRECIO VIBRIN STOPPER)</v>
      </c>
      <c r="B396" t="s">
        <v>1072</v>
      </c>
    </row>
    <row r="397" spans="1:2">
      <c r="A397" t="str">
        <f>'[1]PANEL DE CONTROL'!R906</f>
        <v>W30 SSRR - MATERIALES NIDO 300G (MARCO PRECIO VIBRIN STOPPER)</v>
      </c>
      <c r="B397" t="s">
        <v>1072</v>
      </c>
    </row>
    <row r="398" spans="1:2">
      <c r="A398" t="str">
        <f>'[1]PANEL DE CONTROL'!R907</f>
        <v>W30 SSRR - MATERIALES NIDO 300G (FLEJERA EN L)</v>
      </c>
      <c r="B398" t="s">
        <v>1072</v>
      </c>
    </row>
    <row r="399" spans="1:2">
      <c r="A399" t="str">
        <f>'[1]PANEL DE CONTROL'!R908</f>
        <v>W30 SSRR - MATERIALES NIDO 300G (MARCO PRECIO VIBRIN STOPPER)</v>
      </c>
      <c r="B399" t="s">
        <v>1072</v>
      </c>
    </row>
    <row r="400" spans="1:2">
      <c r="A400" t="str">
        <f>'[1]PANEL DE CONTROL'!R909</f>
        <v>W28 SSRR - MATERIALES SVELTY 300G (VIBRIN STOPPER MARCO PRECIO)</v>
      </c>
      <c r="B400" t="s">
        <v>1073</v>
      </c>
    </row>
    <row r="401" spans="1:2">
      <c r="A401" t="str">
        <f>'[1]PANEL DE CONTROL'!R910</f>
        <v>W28 SSRR - MATERIALES SVELTY 300G (VIBRIN STOPPER MARCO PRECIO)</v>
      </c>
      <c r="B401" t="s">
        <v>1073</v>
      </c>
    </row>
    <row r="402" spans="1:2">
      <c r="A402" t="str">
        <f>'[1]PANEL DE CONTROL'!R911</f>
        <v>W28 SSRR - MATERIALES SVELTY 300G (VIBRIN STOPPER MARCO PRECIO)</v>
      </c>
      <c r="B402" t="s">
        <v>1073</v>
      </c>
    </row>
    <row r="403" spans="1:2">
      <c r="A403" t="str">
        <f>'[1]PANEL DE CONTROL'!R912</f>
        <v>W28 SSRR - MATERIALES SVELTY 300G (FLEJERA EN L)</v>
      </c>
      <c r="B403" t="s">
        <v>1073</v>
      </c>
    </row>
    <row r="404" spans="1:2">
      <c r="A404" t="str">
        <f>'[1]PANEL DE CONTROL'!R913</f>
        <v>W29 SSRR - MATERIALES NIDO NUTRI ESENCIAL (VIBRIN MARCO PRECIO STOPPER)</v>
      </c>
      <c r="B404" t="s">
        <v>1058</v>
      </c>
    </row>
    <row r="405" spans="1:2">
      <c r="A405" t="str">
        <f>'[1]PANEL DE CONTROL'!R914</f>
        <v>W29 SSRR - MATERIALES NIDO NUTRI ESENCIAL (VIBRIN MARCO PRECIO STOPPER)</v>
      </c>
      <c r="B405" t="s">
        <v>1058</v>
      </c>
    </row>
    <row r="406" spans="1:2">
      <c r="A406" t="str">
        <f>'[1]PANEL DE CONTROL'!R915</f>
        <v>W29 SSRR - MATERIALES NIDO NUTRI ESENCIAL (VIBRIN MARCO PRECIO STOPPER)</v>
      </c>
      <c r="B406" t="s">
        <v>1058</v>
      </c>
    </row>
    <row r="407" spans="1:2">
      <c r="A407" t="str">
        <f>'[1]PANEL DE CONTROL'!R916</f>
        <v>W29 SSRR - MATERIALES NIDO NUTRI ESENCIAL (FLEJERA EN L)</v>
      </c>
      <c r="B407" t="s">
        <v>1058</v>
      </c>
    </row>
    <row r="408" spans="1:2">
      <c r="A408" t="str">
        <f>'[1]PANEL DE CONTROL'!R917</f>
        <v>W29 SSRR - MATERIALES NIDO NUTRI ESENCIAL (GANCHERA)</v>
      </c>
      <c r="B408" t="s">
        <v>1058</v>
      </c>
    </row>
    <row r="409" spans="1:2">
      <c r="A409" t="str">
        <f>'[1]PANEL DE CONTROL'!R918</f>
        <v>W36 UNIMARC -  FLEJERAS MILO (BANDEJA EN L)</v>
      </c>
      <c r="B409" t="s">
        <v>1036</v>
      </c>
    </row>
    <row r="410" spans="1:2">
      <c r="A410" t="str">
        <f>'[1]PANEL DE CONTROL'!R919</f>
        <v>W36 JUMBO -  FLEJERAS MILO (BANDEJA EN L)</v>
      </c>
      <c r="B410" t="s">
        <v>1036</v>
      </c>
    </row>
    <row r="411" spans="1:2">
      <c r="A411" t="str">
        <f>'[1]PANEL DE CONTROL'!R920</f>
        <v>W36 SISA -  FLEJERAS MILO (BANDEJA EN L)</v>
      </c>
      <c r="B411" t="s">
        <v>1036</v>
      </c>
    </row>
    <row r="412" spans="1:2">
      <c r="A412" t="str">
        <f>'[1]PANEL DE CONTROL'!R921</f>
        <v>W36 TOTTUS -  FLEJERAS MILO (BANDEJA EN L)</v>
      </c>
      <c r="B412" t="s">
        <v>1036</v>
      </c>
    </row>
    <row r="413" spans="1:2">
      <c r="A413" t="str">
        <f>'[1]PANEL DE CONTROL'!R922</f>
        <v>W36 SSRR - MILO INSTITUCIONAL (BANDEJA EN L)</v>
      </c>
      <c r="B413" t="s">
        <v>1036</v>
      </c>
    </row>
    <row r="414" spans="1:2">
      <c r="A414" t="str">
        <f>'[1]PANEL DE CONTROL'!R923</f>
        <v>W36 SSRR - MILO INSTITUCIONAL (PAYLOADER)</v>
      </c>
      <c r="B414" t="s">
        <v>1036</v>
      </c>
    </row>
    <row r="415" spans="1:2">
      <c r="A415" t="str">
        <f>'[1]PANEL DE CONTROL'!R924</f>
        <v>W36 SSRR - MILO INSTITUCIONAL (GANCHERA)</v>
      </c>
      <c r="B415" t="s">
        <v>1036</v>
      </c>
    </row>
    <row r="416" spans="1:2">
      <c r="A416" t="str">
        <f>'[1]PANEL DE CONTROL'!R925</f>
        <v>W36 TOTTUS - NIDO CHOCOLATE (MARCO PRECIO VIBRIN STOPPER)</v>
      </c>
      <c r="B416" t="s">
        <v>1081</v>
      </c>
    </row>
    <row r="417" spans="1:2">
      <c r="A417" t="str">
        <f>'[1]PANEL DE CONTROL'!R926</f>
        <v>W36 TOTTUS - NIDO CHOCOLATE (MARCO PRECIO VIBRIN STOPPER)</v>
      </c>
      <c r="B417" t="s">
        <v>1081</v>
      </c>
    </row>
    <row r="418" spans="1:2">
      <c r="A418" t="str">
        <f>'[1]PANEL DE CONTROL'!R927</f>
        <v>W36 TOTTUS - NIDO CHOCOLATE (MARCO PRECIO VIBRIN STOPPER)</v>
      </c>
      <c r="B418" t="s">
        <v>1081</v>
      </c>
    </row>
    <row r="419" spans="1:2">
      <c r="A419" t="str">
        <f>'[1]PANEL DE CONTROL'!R928</f>
        <v>W36 TOTTUS - NIDO CHOCOLATE (BANDEJA EN L)</v>
      </c>
      <c r="B419" t="s">
        <v>1081</v>
      </c>
    </row>
    <row r="420" spans="1:2">
      <c r="A420" t="str">
        <f>'[1]PANEL DE CONTROL'!R929</f>
        <v>W41 UNIMARC - SVELTY SEMI DESCREMADA (STOPPER VIBRIN MARCO PRECIO)</v>
      </c>
      <c r="B420" t="s">
        <v>1082</v>
      </c>
    </row>
    <row r="421" spans="1:2">
      <c r="A421" t="str">
        <f>'[1]PANEL DE CONTROL'!R930</f>
        <v>W41 UNIMARC - SVELTY SEMI DESCREMADA (STOPPER VIBRIN MARCO PRECIO)</v>
      </c>
      <c r="B421" t="s">
        <v>1082</v>
      </c>
    </row>
    <row r="422" spans="1:2">
      <c r="A422" t="str">
        <f>'[1]PANEL DE CONTROL'!R931</f>
        <v>W41 UNIMARC - SVELTY SEMI DESCREMADA (STOPPER VIBRIN MARCO PRECIO)</v>
      </c>
      <c r="B422" t="s">
        <v>1082</v>
      </c>
    </row>
    <row r="423" spans="1:2">
      <c r="A423" t="str">
        <f>'[1]PANEL DE CONTROL'!R932</f>
        <v>W41 UNIMARC - SVELTY SEMI DESCREMADA (FLEJERA EN L)</v>
      </c>
      <c r="B423" t="s">
        <v>1082</v>
      </c>
    </row>
    <row r="424" spans="1:2">
      <c r="A424" t="str">
        <f>'[1]PANEL DE CONTROL'!R933</f>
        <v>W41 TOTTUS - SVELTY SEMI DESCREMADA (STOPPER VIBRIN MARCO PRECIO)</v>
      </c>
      <c r="B424" t="s">
        <v>1082</v>
      </c>
    </row>
    <row r="425" spans="1:2">
      <c r="A425" t="str">
        <f>'[1]PANEL DE CONTROL'!R934</f>
        <v>W41 TOTTUS - SVELTY SEMI DESCREMADA (STOPPER VIBRIN MARCO PRECIO)</v>
      </c>
      <c r="B425" t="s">
        <v>1082</v>
      </c>
    </row>
    <row r="426" spans="1:2">
      <c r="A426" t="str">
        <f>'[1]PANEL DE CONTROL'!R935</f>
        <v>W41 TOTTUS - SVELTY SEMI DESCREMADA (STOPPER VIBRIN MARCO PRECIO)</v>
      </c>
      <c r="B426" t="s">
        <v>1082</v>
      </c>
    </row>
    <row r="427" spans="1:2">
      <c r="A427" t="str">
        <f>'[1]PANEL DE CONTROL'!R936</f>
        <v>W41 TOTTUS - SVELTY SEMI DESCREMADA (FLEJERA EN L)</v>
      </c>
      <c r="B427" t="s">
        <v>1082</v>
      </c>
    </row>
    <row r="428" spans="1:2">
      <c r="A428" t="str">
        <f>'[1]PANEL DE CONTROL'!R937</f>
        <v>W39 UNIMARC - GANCHERAS MAGGI (GANCHERA)</v>
      </c>
      <c r="B428" t="s">
        <v>1043</v>
      </c>
    </row>
    <row r="429" spans="1:2">
      <c r="A429" t="str">
        <f>'[1]PANEL DE CONTROL'!R938</f>
        <v>W43 UNIMARC - CUBRE PALLETS KUKY (CUBREPALLET)</v>
      </c>
      <c r="B429" s="2" t="s">
        <v>1083</v>
      </c>
    </row>
    <row r="430" spans="1:2">
      <c r="A430" t="str">
        <f>'[1]PANEL DE CONTROL'!R938</f>
        <v>W43 UNIMARC - CUBRE PALLETS KUKY (CUBREPALLET)</v>
      </c>
      <c r="B430" s="2" t="s">
        <v>1083</v>
      </c>
    </row>
    <row r="431" spans="1:2">
      <c r="A431" t="str">
        <f>'[1]PANEL DE CONTROL'!R939</f>
        <v>W43 UNIMARC - CUBRE PALLETS CRIOLLITAS (CUBREPALLET)</v>
      </c>
      <c r="B431" s="2" t="s">
        <v>1083</v>
      </c>
    </row>
    <row r="432" spans="1:2">
      <c r="A432" t="str">
        <f>'[1]PANEL DE CONTROL'!R940</f>
        <v>W40 JUMBO - GANCHERAS MAGGI (GANCHERA)</v>
      </c>
      <c r="B432" s="18" t="s">
        <v>1043</v>
      </c>
    </row>
    <row r="433" spans="1:2">
      <c r="A433" t="str">
        <f>'[1]PANEL DE CONTROL'!R941</f>
        <v>W40 JUMBO - GANCHERAS MAGGI (STICKER)</v>
      </c>
      <c r="B433" s="18" t="s">
        <v>1043</v>
      </c>
    </row>
    <row r="434" spans="1:2">
      <c r="A434" t="str">
        <f>'[1]PANEL DE CONTROL'!R942</f>
        <v>W40 SISA - GANCHERAS MAGGI (GANCHERA STICKER QR)</v>
      </c>
      <c r="B434" s="18" t="s">
        <v>1043</v>
      </c>
    </row>
    <row r="435" spans="1:2">
      <c r="A435" t="str">
        <f>'[1]PANEL DE CONTROL'!R943</f>
        <v>W40 SISA - GANCHERAS MAGGI (GANCHERA STICKER QR)</v>
      </c>
      <c r="B435" s="18" t="s">
        <v>1043</v>
      </c>
    </row>
    <row r="436" spans="1:2">
      <c r="A436" t="str">
        <f>'[1]PANEL DE CONTROL'!R944</f>
        <v>W39 ALVI - HALLOWEEN (PEDESTAL)</v>
      </c>
      <c r="B436" s="18" t="s">
        <v>1084</v>
      </c>
    </row>
    <row r="437" spans="1:2">
      <c r="A437" t="str">
        <f>'[1]PANEL DE CONTROL'!R945</f>
        <v>W39 ALVI - HALLOWEEN (BOTADERO)</v>
      </c>
      <c r="B437" s="18" t="s">
        <v>1084</v>
      </c>
    </row>
    <row r="438" spans="1:2">
      <c r="A438" t="str">
        <f>'[1]PANEL DE CONTROL'!R946</f>
        <v>W39 MAYORISTA 10 - HALLOWEEN (BOTADERO)</v>
      </c>
      <c r="B438" s="18" t="s">
        <v>1084</v>
      </c>
    </row>
    <row r="439" spans="1:2">
      <c r="A439" t="str">
        <f>'[1]PANEL DE CONTROL'!R947</f>
        <v>W39 SUPER 10 - HALLOWEEN (BOTADERO)</v>
      </c>
      <c r="B439" s="18" t="s">
        <v>1084</v>
      </c>
    </row>
    <row r="440" spans="1:2">
      <c r="A440" t="str">
        <f>'[1]PANEL DE CONTROL'!R948</f>
        <v>W39 UNIMARC - HALLOWEEN (PEDESTAL)</v>
      </c>
      <c r="B440" s="18" t="s">
        <v>1084</v>
      </c>
    </row>
    <row r="441" spans="1:2">
      <c r="A441" t="str">
        <f>'[1]PANEL DE CONTROL'!R949</f>
        <v>W39 UNIMARC - HALLOWEEN (BOTADERO)</v>
      </c>
      <c r="B441" s="18" t="s">
        <v>1084</v>
      </c>
    </row>
    <row r="442" spans="1:2">
      <c r="A442" t="str">
        <f>'[1]PANEL DE CONTROL'!R950</f>
        <v>W39 SISA - HALLOWEEN (BOTADERO)</v>
      </c>
      <c r="B442" s="18" t="s">
        <v>1085</v>
      </c>
    </row>
    <row r="443" spans="1:2">
      <c r="A443" t="str">
        <f>'[1]PANEL DE CONTROL'!R951</f>
        <v>W39 JUMBO - HALLOWEEN (BOTADERO)</v>
      </c>
      <c r="B443" s="18" t="s">
        <v>1085</v>
      </c>
    </row>
    <row r="444" spans="1:2">
      <c r="A444" t="str">
        <f>'[1]PANEL DE CONTROL'!R952</f>
        <v>W40 SISA - PAYLOADERS MAGGI (PAYLOADERS)</v>
      </c>
      <c r="B444" s="18" t="s">
        <v>1043</v>
      </c>
    </row>
    <row r="445" spans="1:2">
      <c r="A445" t="str">
        <f>'[1]PANEL DE CONTROL'!R953</f>
        <v>W41 HIPER LIDER - NESCAFÉ NUEVA IMAGEN (COLGANTE)</v>
      </c>
      <c r="B445" s="18" t="s">
        <v>1027</v>
      </c>
    </row>
    <row r="446" spans="1:2">
      <c r="A446" t="str">
        <f>'[1]PANEL DE CONTROL'!R954</f>
        <v>W41 HIPER LIDER - NESCAFÉ NUEVA IMAGEN (METRO TREND)</v>
      </c>
      <c r="B446" s="18" t="s">
        <v>1027</v>
      </c>
    </row>
    <row r="447" spans="1:2">
      <c r="A447" t="str">
        <f>'[1]PANEL DE CONTROL'!R955</f>
        <v>W41 HIPER LIDER - NESCAFÉ NUEVA IMAGEN (SEPARADOR XL)</v>
      </c>
      <c r="B447" s="18" t="s">
        <v>1027</v>
      </c>
    </row>
    <row r="448" spans="1:2">
      <c r="A448" t="str">
        <f>'[1]PANEL DE CONTROL'!R956</f>
        <v>W41 HIPER LIDER - LISTA 6 CHOCOLATES SN/TRENCITO (PAYLOADER)</v>
      </c>
      <c r="B448" s="18" t="s">
        <v>1086</v>
      </c>
    </row>
    <row r="449" spans="1:2">
      <c r="A449" t="str">
        <f>'[1]PANEL DE CONTROL'!R957</f>
        <v>W41 ACUENTA - LISTA 6 BOTADERO GALLETAS MINI (BOTADERO)</v>
      </c>
      <c r="B449" s="18" t="s">
        <v>1087</v>
      </c>
    </row>
    <row r="450" spans="1:2">
      <c r="A450" t="str">
        <f>'[1]PANEL DE CONTROL'!R958</f>
        <v>W36 SSRR -  MILO INSTITUCIONAL ADICIONAL(BANDEJA EN L)</v>
      </c>
      <c r="B450" s="18" t="s">
        <v>1036</v>
      </c>
    </row>
    <row r="451" spans="1:2">
      <c r="A451" t="str">
        <f>'[1]PANEL DE CONTROL'!R959</f>
        <v>W39 SSRR - NIDO CHOCOLATE (VIBRIN 12X12 VIBRIN 15X30 MARCO PRECIO)</v>
      </c>
      <c r="B451" s="18" t="s">
        <v>1081</v>
      </c>
    </row>
    <row r="452" spans="1:2">
      <c r="A452" t="str">
        <f>'[1]PANEL DE CONTROL'!R960</f>
        <v>W39 SSRR - NIDO CHOCOLATE (VIBRIN 12X12 VIBRIN 15X30 MARCO PRECIO)</v>
      </c>
      <c r="B452" s="18" t="s">
        <v>1081</v>
      </c>
    </row>
    <row r="453" spans="1:2">
      <c r="A453" t="str">
        <f>'[1]PANEL DE CONTROL'!R961</f>
        <v>W39 SSRR - NIDO CHOCOLATE (VIBRIN 12X12 VIBRIN 15X30 MARCO PRECIO)</v>
      </c>
      <c r="B453" s="18" t="s">
        <v>1081</v>
      </c>
    </row>
    <row r="454" spans="1:2">
      <c r="A454" t="str">
        <f>'[1]PANEL DE CONTROL'!R962</f>
        <v>W39 SSRR - NIDO CHOCOLATE (FLEJERA EN L)</v>
      </c>
      <c r="B454" s="18" t="s">
        <v>1081</v>
      </c>
    </row>
    <row r="455" spans="1:2">
      <c r="A455" t="str">
        <f>'[1]PANEL DE CONTROL'!R963</f>
        <v>W39 SSRR - NIDO CHOCOLATE (PAYLOADER)</v>
      </c>
      <c r="B455" s="18" t="s">
        <v>1081</v>
      </c>
    </row>
    <row r="456" spans="1:2">
      <c r="A456" t="str">
        <f>'[1]PANEL DE CONTROL'!R964</f>
        <v>W39 SSRR - NIDO CHOCOLATE (VIBRIN 12X12 VIBRIN 15X30 MARCO PRECIO)</v>
      </c>
      <c r="B456" s="18" t="s">
        <v>1081</v>
      </c>
    </row>
    <row r="457" spans="1:2">
      <c r="A457" t="str">
        <f>'[1]PANEL DE CONTROL'!R965</f>
        <v>W36 TOTTUS - FLEJERAS MILO (BANDEJA EN L)</v>
      </c>
      <c r="B457" s="18" t="s">
        <v>1036</v>
      </c>
    </row>
    <row r="458" spans="1:2">
      <c r="A458" t="str">
        <f>'[1]PANEL DE CONTROL'!R966</f>
        <v>W41 HIPER LIDER - PAYLOADERS NATURES HEART L6 (PAYLOADER)</v>
      </c>
      <c r="B458" s="18" t="s">
        <v>1088</v>
      </c>
    </row>
    <row r="459" spans="1:2">
      <c r="A459" t="str">
        <f>'[1]PANEL DE CONTROL'!R967</f>
        <v>W41 HIPER LIDER - NIDO CHOCOLATE L6 (PAYLOADER)</v>
      </c>
      <c r="B459" s="18" t="s">
        <v>1089</v>
      </c>
    </row>
    <row r="460" spans="1:2">
      <c r="A460" t="str">
        <f>'[1]PANEL DE CONTROL'!R968</f>
        <v>W41 HIPER LIDER - NIDO L6 (PAYLOADER)</v>
      </c>
      <c r="B460" s="18" t="s">
        <v>1090</v>
      </c>
    </row>
    <row r="461" spans="1:2">
      <c r="A461" t="str">
        <f>'[1]PANEL DE CONTROL'!R969</f>
        <v>W41 HIPER LIDER - PAYLOADERS CULINARIOS L6 (PAYLOADER)</v>
      </c>
      <c r="B461" s="18" t="s">
        <v>1091</v>
      </c>
    </row>
    <row r="462" spans="1:2">
      <c r="A462" t="str">
        <f>'[1]PANEL DE CONTROL'!R970</f>
        <v>W42 UNIMARC - NUTRI ESENCIAL (FLEJERA EN L)</v>
      </c>
      <c r="B462" s="18" t="s">
        <v>1058</v>
      </c>
    </row>
    <row r="463" spans="1:2">
      <c r="A463" t="str">
        <f>'[1]PANEL DE CONTROL'!R971</f>
        <v>W42 UNIMARC - NUTRI ESENCIAL (MARCO PRECIO VIBRIN STOPPER)</v>
      </c>
      <c r="B463" s="18" t="s">
        <v>1058</v>
      </c>
    </row>
    <row r="464" spans="1:2">
      <c r="A464" t="str">
        <f>'[1]PANEL DE CONTROL'!R972</f>
        <v>W42 UNIMARC - NUTRI ESENCIAL (MARCO PRECIO VIBRIN STOPPER)</v>
      </c>
      <c r="B464" s="18" t="s">
        <v>1058</v>
      </c>
    </row>
    <row r="465" spans="1:2">
      <c r="A465" t="str">
        <f>'[1]PANEL DE CONTROL'!R973</f>
        <v>W42 UNIMARC - NUTRI ESENCIAL (MARCO PRECIO VIBRIN STOPPER)</v>
      </c>
      <c r="B465" s="18" t="s">
        <v>1058</v>
      </c>
    </row>
    <row r="466" spans="1:2">
      <c r="A466" t="str">
        <f>'[1]PANEL DE CONTROL'!R974</f>
        <v>W42 SSRR - CONCURSO NATURNES (TOTEM)</v>
      </c>
      <c r="B466" s="18" t="s">
        <v>1064</v>
      </c>
    </row>
    <row r="467" spans="1:2">
      <c r="A467" t="str">
        <f>'[1]PANEL DE CONTROL'!R975</f>
        <v>W42 SSRR - CONCURSO NATURNES (FLEJERA EN L)</v>
      </c>
      <c r="B467" s="18" t="s">
        <v>1064</v>
      </c>
    </row>
    <row r="468" spans="1:2">
      <c r="A468" t="str">
        <f>'[1]PANEL DE CONTROL'!R976</f>
        <v>W42 SSRR - CONCURSO NATURNES (STOPPER VIBRIN MARCO PRECIO)</v>
      </c>
      <c r="B468" s="18" t="s">
        <v>1064</v>
      </c>
    </row>
    <row r="469" spans="1:2">
      <c r="A469" t="str">
        <f>'[1]PANEL DE CONTROL'!R977</f>
        <v>W42 SSRR - CONCURSO NATURNES (STOPPER VIBRIN MARCO PRECIO)</v>
      </c>
      <c r="B469" s="18" t="s">
        <v>1064</v>
      </c>
    </row>
    <row r="470" spans="1:2">
      <c r="A470" t="str">
        <f>'[1]PANEL DE CONTROL'!R978</f>
        <v>W42 SSRR - CONCURSO NATURNES (STOPPER VIBRIN MARCO PRECIO)</v>
      </c>
      <c r="B470" s="18" t="s">
        <v>1064</v>
      </c>
    </row>
    <row r="471" spans="1:2">
      <c r="A471" t="str">
        <f>'[1]PANEL DE CONTROL'!R979</f>
        <v>W42 SSRR - CONCURSO NATURNES (PAYLOADER)</v>
      </c>
      <c r="B471" s="18" t="s">
        <v>1064</v>
      </c>
    </row>
    <row r="472" spans="1:2">
      <c r="A472" t="str">
        <f>'[1]PANEL DE CONTROL'!R980</f>
        <v>W42 SSRR - CONCURSO NATURNES (BUZON)</v>
      </c>
      <c r="B472" s="18" t="s">
        <v>1064</v>
      </c>
    </row>
    <row r="473" spans="1:2">
      <c r="A473" t="str">
        <f>'[1]PANEL DE CONTROL'!R981</f>
        <v>W42 SSRR - CONCURSO NATURNES (TRICICLO)</v>
      </c>
      <c r="B473" s="18" t="s">
        <v>1064</v>
      </c>
    </row>
    <row r="474" spans="1:2">
      <c r="A474" t="str">
        <f>'[1]PANEL DE CONTROL'!R982</f>
        <v>W44 SISA - PAYLOADERS TRITON (PAYLOADER)</v>
      </c>
      <c r="B474" s="18" t="s">
        <v>1092</v>
      </c>
    </row>
    <row r="475" spans="1:2">
      <c r="A475" t="str">
        <f>'[1]PANEL DE CONTROL'!R983</f>
        <v>W41 HIPER LIDER - REVEST. CABECERAS PINTAS (CABECERA)</v>
      </c>
      <c r="B475" s="18" t="s">
        <v>1093</v>
      </c>
    </row>
    <row r="476" spans="1:2">
      <c r="A476" t="str">
        <f>'[1]PANEL DE CONTROL'!R984</f>
        <v>W41 SISA -  NESCAFÉ NUEVA IMAGEN (GANCHERA)</v>
      </c>
      <c r="B476" s="18" t="s">
        <v>1027</v>
      </c>
    </row>
    <row r="477" spans="1:2">
      <c r="A477" t="str">
        <f>'[1]PANEL DE CONTROL'!R985</f>
        <v>W41 JUMBO -  NESCAFÉ NUEVA IMAGEN (GANCHERA)</v>
      </c>
      <c r="B477" s="18" t="s">
        <v>1027</v>
      </c>
    </row>
    <row r="478" spans="1:2">
      <c r="A478" t="str">
        <f>'[1]PANEL DE CONTROL'!R986</f>
        <v>W47 HIPER LIDER - TRITON (CUBREALARMA HOMBRE)</v>
      </c>
      <c r="B478" s="18" t="s">
        <v>1092</v>
      </c>
    </row>
    <row r="479" spans="1:2">
      <c r="A479" t="str">
        <f>'[1]PANEL DE CONTROL'!R987</f>
        <v>W47 HIPER LIDER - TRITON (CUBREALARMA MUJER)</v>
      </c>
      <c r="B479" s="18" t="s">
        <v>1092</v>
      </c>
    </row>
    <row r="480" spans="1:2">
      <c r="A480" t="str">
        <f>'[1]PANEL DE CONTROL'!R988</f>
        <v>W47 HIPER LIDER - TRITON (METRO TREND)</v>
      </c>
      <c r="B480" s="18" t="s">
        <v>1092</v>
      </c>
    </row>
    <row r="481" spans="1:2">
      <c r="A481" t="str">
        <f>'[1]PANEL DE CONTROL'!R989</f>
        <v>W47 UNIMARC - CATÁLOGO DIC SAHNE NUSS (PAYLOADER)</v>
      </c>
      <c r="B481" s="18" t="s">
        <v>1094</v>
      </c>
    </row>
    <row r="482" spans="1:2">
      <c r="A482" t="str">
        <f>'[1]PANEL DE CONTROL'!R990</f>
        <v>W47 UNIMARC - CATÁLOGO DIC CHOKITA  (PAYLOADER)</v>
      </c>
      <c r="B482" s="18" t="s">
        <v>1094</v>
      </c>
    </row>
    <row r="483" spans="1:2">
      <c r="A483" t="str">
        <f>'[1]PANEL DE CONTROL'!R991</f>
        <v>W46 ALVI - MUEBLES NAVIDAD (BOTADERO)</v>
      </c>
      <c r="B483" s="18" t="s">
        <v>1095</v>
      </c>
    </row>
    <row r="484" spans="1:2">
      <c r="A484" t="str">
        <f>'[1]PANEL DE CONTROL'!R992</f>
        <v>W46 ALVI - MUEBLES NAVIDAD (PEDESTAL)</v>
      </c>
      <c r="B484" s="18" t="s">
        <v>1095</v>
      </c>
    </row>
    <row r="485" spans="1:2">
      <c r="A485" t="str">
        <f>'[1]PANEL DE CONTROL'!R993</f>
        <v>W46 M10 - MUEBLES NAVIDAD (PEDESTAL)</v>
      </c>
      <c r="B485" s="18" t="s">
        <v>1095</v>
      </c>
    </row>
    <row r="486" spans="1:2">
      <c r="A486" t="str">
        <f>'[1]PANEL DE CONTROL'!R994</f>
        <v>W46 M10 - MUEBLES NAVIDAD (BOTADERO)</v>
      </c>
      <c r="B486" s="18" t="s">
        <v>1095</v>
      </c>
    </row>
    <row r="487" spans="1:2">
      <c r="A487" t="str">
        <f>'[1]PANEL DE CONTROL'!R995</f>
        <v>W46 UNIMARC - MUEBLES NAVIDAD (PEDESTAL)</v>
      </c>
      <c r="B487" s="18" t="s">
        <v>1095</v>
      </c>
    </row>
    <row r="488" spans="1:2">
      <c r="A488" t="str">
        <f>'[1]PANEL DE CONTROL'!R996</f>
        <v>W46 UNIMARC - MUEBLES NAVIDAD (BOTADERO)</v>
      </c>
      <c r="B488" s="18" t="s">
        <v>1095</v>
      </c>
    </row>
    <row r="489" spans="1:2">
      <c r="A489" t="str">
        <f>'[1]PANEL DE CONTROL'!R997</f>
        <v>W46 S10 - MUEBLES NAVIDAD (PEDESTAL)</v>
      </c>
      <c r="B489" s="18" t="s">
        <v>1095</v>
      </c>
    </row>
    <row r="490" spans="1:2">
      <c r="A490" t="str">
        <f>'[1]PANEL DE CONTROL'!R998</f>
        <v>W46 S10 - MUEBLES NAVIDAD (BOTADERO)</v>
      </c>
      <c r="B490" s="18" t="s">
        <v>1095</v>
      </c>
    </row>
    <row r="491" spans="1:2">
      <c r="A491" t="str">
        <f>'[1]PANEL DE CONTROL'!R999</f>
        <v>W47 TOTTUS -  STOPPER SAHNE NUSS (STOPPER)</v>
      </c>
      <c r="B491" s="18" t="s">
        <v>1039</v>
      </c>
    </row>
    <row r="492" spans="1:2">
      <c r="A492" t="str">
        <f>'[1]PANEL DE CONTROL'!R1000</f>
        <v>W47 HIPER LIDER - PAYLOADER SAHNE NUSS NAVIDAD (PAYLOADER)</v>
      </c>
      <c r="B492" s="18" t="s">
        <v>1039</v>
      </c>
    </row>
    <row r="493" spans="1:2">
      <c r="A493" t="str">
        <f>'[1]PANEL DE CONTROL'!R1001</f>
        <v>W47 HIPER LIDER - PAYLOADER SAHNE NUSS NAVIDAD (PAYLOADER)</v>
      </c>
      <c r="B493" s="18" t="s">
        <v>1039</v>
      </c>
    </row>
    <row r="494" spans="1:2">
      <c r="A494" t="str">
        <f>'[1]PANEL DE CONTROL'!R1002</f>
        <v>W48 JUMBO - POP MEGA TRÍO (VIBRIN)</v>
      </c>
      <c r="B494" s="18" t="s">
        <v>1096</v>
      </c>
    </row>
    <row r="495" spans="1:2">
      <c r="A495" t="str">
        <f>'[1]PANEL DE CONTROL'!R1003</f>
        <v>W47 HIPER LIDER - POP MEGA TRÍO (SEPARADOR XL)</v>
      </c>
      <c r="B495" s="18" t="s">
        <v>1096</v>
      </c>
    </row>
    <row r="496" spans="1:2">
      <c r="A496" t="str">
        <f>'[1]PANEL DE CONTROL'!R1004</f>
        <v>W47 HIPER LIDER - POP MEGA TRÍO (LATERAL CABECERA)</v>
      </c>
      <c r="B496" s="18" t="s">
        <v>1096</v>
      </c>
    </row>
    <row r="497" spans="1:2">
      <c r="A497" t="str">
        <f>'[1]PANEL DE CONTROL'!R1005</f>
        <v>W47 HIPER LIDER - POP MEGA TRÍO (COLGANTE)</v>
      </c>
      <c r="B497" s="18" t="s">
        <v>1096</v>
      </c>
    </row>
    <row r="498" spans="1:2">
      <c r="A498" t="str">
        <f>'[1]PANEL DE CONTROL'!R1006</f>
        <v>W47 HIPER LIDER - PAYLOADER L6 NIDO ETAPA 2 (PAYLOADER)</v>
      </c>
      <c r="B498" s="18" t="s">
        <v>1097</v>
      </c>
    </row>
    <row r="499" spans="1:2">
      <c r="A499" t="str">
        <f>'[1]PANEL DE CONTROL'!R1007</f>
        <v>W47 HIPER LIDER - MILO L6 (PAYLOADER)</v>
      </c>
      <c r="B499" s="18" t="s">
        <v>1098</v>
      </c>
    </row>
    <row r="500" spans="1:2">
      <c r="A500" t="str">
        <f>'[1]PANEL DE CONTROL'!R1008</f>
        <v>W47 HIPER LIDER - EXHIBICIONES BOMBILLINES LISTA 6 ETAPA 2 MILO SIN LACTOSA (MINICABECERA)</v>
      </c>
      <c r="B500" s="18" t="s">
        <v>1098</v>
      </c>
    </row>
    <row r="501" spans="1:2">
      <c r="A501" t="str">
        <f>'[1]PANEL DE CONTROL'!R1009</f>
        <v>W49 TOTTUS - GANCHERAS MAGGI (GANCHERA)</v>
      </c>
      <c r="B501" s="18" t="s">
        <v>1043</v>
      </c>
    </row>
    <row r="502" spans="1:2">
      <c r="A502" t="str">
        <f>'[1]PANEL DE CONTROL'!R1010</f>
        <v>W51 TOTTUS - POP NESCAFÉ NUEVA IMAGEN (STOPPER)</v>
      </c>
      <c r="B502" s="18" t="s">
        <v>1027</v>
      </c>
    </row>
    <row r="503" spans="1:2">
      <c r="A503" t="str">
        <f>'[1]PANEL DE CONTROL'!R1011</f>
        <v>W51 TOTTUS - POP NESCAFÉ NUEVA IMAGEN (CUBREPALLETS)</v>
      </c>
      <c r="B503" s="18" t="s">
        <v>1027</v>
      </c>
    </row>
    <row r="504" spans="1:2">
      <c r="A504" t="str">
        <f>'[1]PANEL DE CONTROL'!R1012</f>
        <v>W1 HIPER LIDER - PAYLOADER MILO L1 (PAYLOADER)</v>
      </c>
      <c r="B504" s="18" t="s">
        <v>1099</v>
      </c>
    </row>
    <row r="505" spans="1:2">
      <c r="A505" t="str">
        <f>'[1]PANEL DE CONTROL'!R1013</f>
        <v>W2 HIPER LIDER - PAYLOADERS CULINARIOS L1 (PAYLOADER)</v>
      </c>
      <c r="B505" s="18" t="s">
        <v>1043</v>
      </c>
    </row>
    <row r="506" spans="1:2">
      <c r="A506" t="str">
        <f>'[1]PANEL DE CONTROL'!R1014</f>
        <v>W2 SSRR - PLAN VERANO SAVORY (BIGBOY)</v>
      </c>
      <c r="B506" s="2" t="s">
        <v>1100</v>
      </c>
    </row>
    <row r="507" spans="1:2">
      <c r="A507" t="str">
        <f>'[1]PANEL DE CONTROL'!R1015</f>
        <v>W2 SSRR - PLAN VERANO SAVORY (STOPPER)</v>
      </c>
      <c r="B507" s="2" t="s">
        <v>1100</v>
      </c>
    </row>
    <row r="508" spans="1:2">
      <c r="A508" t="str">
        <f>'[1]PANEL DE CONTROL'!R1016</f>
        <v>W2 SSRR - PLAN VERANO SAVORY (VIBRIN)</v>
      </c>
      <c r="B508" s="2" t="s">
        <v>1100</v>
      </c>
    </row>
    <row r="509" spans="1:2">
      <c r="A509" t="str">
        <f>'[1]PANEL DE CONTROL'!R1017</f>
        <v>W2 SSRR - PLAN VERANO SAVORY (LOMO NAVE)</v>
      </c>
      <c r="B509" s="2" t="s">
        <v>1100</v>
      </c>
    </row>
    <row r="510" spans="1:2">
      <c r="A510" t="str">
        <f>'[1]PANEL DE CONTROL'!R1018</f>
        <v>W2 SSRR - PLAN VERANO SAVORY (HUINCHA COOLER)</v>
      </c>
      <c r="B510" s="2" t="s">
        <v>1100</v>
      </c>
    </row>
    <row r="511" spans="1:2">
      <c r="A511" t="str">
        <f>'[1]PANEL DE CONTROL'!R1019</f>
        <v>W2 SSRR - PLAN VERANO SAVORY (DRON)</v>
      </c>
      <c r="B511" s="2" t="s">
        <v>1100</v>
      </c>
    </row>
    <row r="512" spans="1:2">
      <c r="A512" t="str">
        <f>'[1]PANEL DE CONTROL'!R1020</f>
        <v>W2 HIPER LIDER - PAYLOADER SN SAN VALENTÍN (PAYLOADER)</v>
      </c>
      <c r="B512" s="2" t="s">
        <v>1101</v>
      </c>
    </row>
    <row r="513" spans="1:2">
      <c r="A513" t="str">
        <f>'[1]PANEL DE CONTROL'!R1021</f>
        <v>W2 HIPER LIDER - HOTSPOT TRITON (HOTSPOT)</v>
      </c>
      <c r="B513" s="19" t="s">
        <v>1092</v>
      </c>
    </row>
    <row r="514" spans="1:2">
      <c r="A514" t="str">
        <f>'[1]PANEL DE CONTROL'!R1022</f>
        <v>W5 SISA - ESQUINEROS MANJAR(ESQUINEROS)</v>
      </c>
      <c r="B514" s="19" t="s">
        <v>1102</v>
      </c>
    </row>
    <row r="515" spans="1:2">
      <c r="A515" t="str">
        <f>'[1]PANEL DE CONTROL'!R1023</f>
        <v>W3 UNIMARC - PAYLOADER SN SAN VALENTÍN (PAYLOADER)</v>
      </c>
      <c r="B515" s="19" t="s">
        <v>1103</v>
      </c>
    </row>
    <row r="516" spans="1:2">
      <c r="A516" t="str">
        <f>'[1]PANEL DE CONTROL'!R1024</f>
        <v>W5 JUMBO - ISLA SN SAN VALENTÍN (ISLA)</v>
      </c>
      <c r="B516" s="19" t="s">
        <v>1103</v>
      </c>
    </row>
    <row r="517" spans="1:2">
      <c r="A517" t="str">
        <f>'[1]PANEL DE CONTROL'!R1025</f>
        <v>W6 UNIMARC - MEGA TRÍO (VIBRIN STOPPER)</v>
      </c>
      <c r="B517" s="19" t="s">
        <v>1096</v>
      </c>
    </row>
    <row r="518" spans="1:2">
      <c r="A518" t="str">
        <f>'[1]PANEL DE CONTROL'!R1026</f>
        <v>W6 UNIMARC - MEGA TRÍO (VIBRIN STOPPER)</v>
      </c>
      <c r="B518" s="19" t="s">
        <v>1096</v>
      </c>
    </row>
    <row r="519" spans="1:2">
      <c r="A519" t="str">
        <f>'[1]PANEL DE CONTROL'!R1027</f>
        <v>W5 TOTTUS - MEGA TRÍO (  LATERAL CABECERA)</v>
      </c>
      <c r="B519" s="19" t="s">
        <v>1096</v>
      </c>
    </row>
    <row r="520" spans="1:2">
      <c r="A520" t="str">
        <f>'[1]PANEL DE CONTROL'!R1028</f>
        <v>W5 TOTTUS - MEGA TRÍO (  VIBRÍN STOPPER)</v>
      </c>
      <c r="B520" s="19" t="s">
        <v>1096</v>
      </c>
    </row>
    <row r="521" spans="1:2">
      <c r="A521" t="str">
        <f>'[1]PANEL DE CONTROL'!R1029</f>
        <v>W5 TOTTUS - MEGA TRÍO (  VIBRÍN STOPPER)</v>
      </c>
      <c r="B521" s="19" t="s">
        <v>1096</v>
      </c>
    </row>
    <row r="522" spans="1:2">
      <c r="A522" t="str">
        <f>'[1]PANEL DE CONTROL'!R1030</f>
        <v>W5 TOTTUS - MEGA TRÍO (  CUBREALARMA)</v>
      </c>
      <c r="B522" s="19" t="s">
        <v>1096</v>
      </c>
    </row>
    <row r="523" spans="1:2">
      <c r="A523" t="str">
        <f>'[1]PANEL DE CONTROL'!R1031</f>
        <v>W7 HIPER LIDER - MEGA TRÍO (  LATERAL CABECERA)</v>
      </c>
      <c r="B523" s="19" t="s">
        <v>1096</v>
      </c>
    </row>
    <row r="524" spans="1:2">
      <c r="A524" t="str">
        <f>'[1]PANEL DE CONTROL'!R1032</f>
        <v>W7 HIPER LIDER - MEGA TRÍO (  VIBRÍN STOPPER)</v>
      </c>
      <c r="B524" s="19" t="s">
        <v>1096</v>
      </c>
    </row>
    <row r="525" spans="1:2">
      <c r="A525" t="str">
        <f>'[1]PANEL DE CONTROL'!R1033</f>
        <v>W7 HIPER LIDER - MEGA TRÍO (  VIBRÍN STOPPER)</v>
      </c>
      <c r="B525" s="19" t="s">
        <v>1096</v>
      </c>
    </row>
    <row r="526" spans="1:2">
      <c r="A526" t="str">
        <f>'[1]PANEL DE CONTROL'!R1034</f>
        <v>W7 LIDER EXPRESS - MEGA TRÍO (  VIBRÍN STOPPER)</v>
      </c>
      <c r="B526" s="19" t="s">
        <v>1096</v>
      </c>
    </row>
    <row r="527" spans="1:2">
      <c r="A527" t="str">
        <f>'[1]PANEL DE CONTROL'!R1035</f>
        <v>W7 LIDER EXPRESS - MEGA TRÍO (  VIBRÍN STOPPER)</v>
      </c>
      <c r="B527" s="19" t="s">
        <v>1096</v>
      </c>
    </row>
    <row r="528" spans="1:2">
      <c r="A528" t="str">
        <f>'[1]PANEL DE CONTROL'!R1036</f>
        <v>W5 JUMBO - MEGA TRÍO (   LATERAL CABECERA)</v>
      </c>
      <c r="B528" s="19" t="s">
        <v>1096</v>
      </c>
    </row>
    <row r="529" spans="1:2">
      <c r="A529" t="str">
        <f>'[1]PANEL DE CONTROL'!R1037</f>
        <v>W5 JUMBO - MEGA TRÍO (   VIBRÍN)</v>
      </c>
      <c r="B529" s="19" t="s">
        <v>1096</v>
      </c>
    </row>
    <row r="530" spans="1:2">
      <c r="A530" t="str">
        <f>'[1]PANEL DE CONTROL'!R1038</f>
        <v>W5 JUMBO - MEGA TRÍO (   MARCO PUERTA)</v>
      </c>
      <c r="B530" s="19" t="s">
        <v>1096</v>
      </c>
    </row>
    <row r="531" spans="1:2">
      <c r="A531" t="str">
        <f>'[1]PANEL DE CONTROL'!R1039</f>
        <v>W5 SISA - MEGA TRÍO (   VIBRÍN)</v>
      </c>
      <c r="B531" s="19" t="s">
        <v>1096</v>
      </c>
    </row>
    <row r="532" spans="1:2">
      <c r="A532" t="str">
        <f>'[1]PANEL DE CONTROL'!R1040</f>
        <v>W5 SISA - MEGA TRÍO (   MARCO PUERTA)</v>
      </c>
      <c r="B532" s="19" t="s">
        <v>1096</v>
      </c>
    </row>
    <row r="533" spans="1:2">
      <c r="A533" t="str">
        <f>'[1]PANEL DE CONTROL'!R1041</f>
        <v>W8 ALVI - CUBREPALLETS MANJAR (CUBREPALLETS)</v>
      </c>
      <c r="B533" s="19" t="s">
        <v>1102</v>
      </c>
    </row>
    <row r="534" spans="1:2">
      <c r="A534" t="str">
        <f>'[1]PANEL DE CONTROL'!R1042</f>
        <v>W8 UNIMARC - BTS GALLETAS ESPECIALES (PAYLOADER)</v>
      </c>
      <c r="B534" s="19" t="s">
        <v>1104</v>
      </c>
    </row>
    <row r="535" spans="1:2">
      <c r="A535" t="str">
        <f>'[1]PANEL DE CONTROL'!R1043</f>
        <v>W8 UNIMARC -  BOTADEROS GALLETAS BTS (BOTADEROS)</v>
      </c>
      <c r="B535" s="19" t="s">
        <v>1104</v>
      </c>
    </row>
    <row r="536" spans="1:2">
      <c r="A536" t="str">
        <f>'[1]PANEL DE CONTROL'!R1044</f>
        <v>W8 MAYORISTA 10 - BOTADEROS GALLETAS BTS (BOTADEROS)</v>
      </c>
      <c r="B536" s="19" t="s">
        <v>1104</v>
      </c>
    </row>
    <row r="537" spans="1:2">
      <c r="A537" t="str">
        <f>'[1]PANEL DE CONTROL'!R1045</f>
        <v>W8 SUPER 10 - BOTADEROS GALLETAS BTS (BOTADEROS)</v>
      </c>
      <c r="B537" s="19" t="s">
        <v>1104</v>
      </c>
    </row>
    <row r="538" spans="1:2">
      <c r="A538" t="str">
        <f>'[1]PANEL DE CONTROL'!R1046</f>
        <v>W8 MONSERRAT - BOTADEROS GALLETAS BTS (BOTADEROS)</v>
      </c>
      <c r="B538" s="19" t="s">
        <v>1104</v>
      </c>
    </row>
    <row r="539" spans="1:2">
      <c r="A539" t="str">
        <f>'[1]PANEL DE CONTROL'!R1047</f>
        <v>W7 HIPER LIDER - PAYLOADER NATURNES L1 (PAYLOADERS)</v>
      </c>
      <c r="B539" s="19" t="s">
        <v>1105</v>
      </c>
    </row>
    <row r="540" spans="1:2">
      <c r="A540" t="str">
        <f>'[1]PANEL DE CONTROL'!R1048</f>
        <v>W7 HIPER LIDER - PAYLOADERS BALLS L1E2 (PAYLOADERS)</v>
      </c>
      <c r="B540" s="19" t="s">
        <v>1106</v>
      </c>
    </row>
    <row r="541" spans="1:2">
      <c r="A541" t="str">
        <f>'[1]PANEL DE CONTROL'!R1049</f>
        <v>W7 HIPER LIDER -  DISTRIBUCION NIDO CHOCOLATE (MARCO GONDOLA)</v>
      </c>
      <c r="B541" s="19" t="s">
        <v>1107</v>
      </c>
    </row>
    <row r="542" spans="1:2">
      <c r="A542" t="str">
        <f>'[1]PANEL DE CONTROL'!R1050</f>
        <v>W7 HIPER LIDER -  DISTRIBUCION NIDO CHOCOLATE (METRO TREND)</v>
      </c>
      <c r="B542" s="19" t="s">
        <v>1107</v>
      </c>
    </row>
    <row r="543" spans="1:2">
      <c r="A543" t="str">
        <f>'[1]PANEL DE CONTROL'!R1051</f>
        <v>W7 HIPER LIDER -  DISTRIBUCION NIDO CHOCOLATE (FLEJERA EN L)</v>
      </c>
      <c r="B543" s="19" t="s">
        <v>1107</v>
      </c>
    </row>
    <row r="544" spans="1:2">
      <c r="A544" t="str">
        <f>'[1]PANEL DE CONTROL'!R1052</f>
        <v>W7 HIPER LIDER -  DISTRIBUCION NIDO CHOCOLATE (STOPPER XL)</v>
      </c>
      <c r="B544" s="19" t="s">
        <v>1107</v>
      </c>
    </row>
    <row r="545" spans="1:2">
      <c r="A545" t="str">
        <f>'[1]PANEL DE CONTROL'!R1053</f>
        <v>W7 HIPER LIDER - ISLA MANJAR  L1 (REVESTIMIENTO)</v>
      </c>
      <c r="B545" s="19" t="s">
        <v>1108</v>
      </c>
    </row>
    <row r="546" spans="1:2">
      <c r="A546" t="str">
        <f>'[1]PANEL DE CONTROL'!R1054</f>
        <v>W7 ALVI - CUBREPALLETS MANJAR (CUBREPALLET)</v>
      </c>
      <c r="B546" s="19" t="s">
        <v>1109</v>
      </c>
    </row>
    <row r="547" spans="1:2">
      <c r="A547" t="str">
        <f>'[1]PANEL DE CONTROL'!R1055</f>
        <v>W8 TOTTUS - BOTADEROS MAGGI (BOTADEROS)</v>
      </c>
      <c r="B547" s="19" t="s">
        <v>1110</v>
      </c>
    </row>
    <row r="548" spans="1:2">
      <c r="A548" t="str">
        <f>'[1]PANEL DE CONTROL'!R1056</f>
        <v>W8 TOTTUS - NATURNES (MARCO GONDOLA)</v>
      </c>
      <c r="B548" s="19" t="s">
        <v>1111</v>
      </c>
    </row>
    <row r="549" spans="1:2">
      <c r="A549" t="str">
        <f>'[1]PANEL DE CONTROL'!R1057</f>
        <v>W8 TOTTUS - NATURNES (STOPPER GONDOLA)</v>
      </c>
      <c r="B549" s="19" t="s">
        <v>1111</v>
      </c>
    </row>
    <row r="550" spans="1:2">
      <c r="A550" t="str">
        <f>'[1]PANEL DE CONTROL'!R1058</f>
        <v>W9 TOTTUS - NIDO (VIBRIN NIDO CHOCOLATE)</v>
      </c>
      <c r="B550" s="19" t="s">
        <v>1112</v>
      </c>
    </row>
    <row r="551" spans="1:2">
      <c r="A551" t="str">
        <f>'[1]PANEL DE CONTROL'!R1059</f>
        <v>W9 TOTTUS - NIDO (MARCO PRECIO NIDO CHOCOLATE)</v>
      </c>
      <c r="B551" s="19" t="s">
        <v>1112</v>
      </c>
    </row>
    <row r="552" spans="1:2">
      <c r="A552" t="str">
        <f>'[1]PANEL DE CONTROL'!R1060</f>
        <v>W9 TOTTUS - NIDO (FLEJERA EN L NIDO CHOCOLATE)</v>
      </c>
      <c r="B552" s="19" t="s">
        <v>1112</v>
      </c>
    </row>
    <row r="553" spans="1:2">
      <c r="A553" t="str">
        <f>'[1]PANEL DE CONTROL'!R1061</f>
        <v>W9 TOTTUS - NIDO (FLEJERA NUTRI ESENCIAL)</v>
      </c>
      <c r="B553" s="19" t="s">
        <v>1112</v>
      </c>
    </row>
    <row r="554" spans="1:2">
      <c r="A554" t="str">
        <f>'[1]PANEL DE CONTROL'!R1062</f>
        <v>W9 TOTTUS - NIDO (VIBRIN NUTRI ESENCIAL )</v>
      </c>
      <c r="B554" s="19" t="s">
        <v>1112</v>
      </c>
    </row>
    <row r="555" spans="1:2">
      <c r="A555" t="str">
        <f>'[1]PANEL DE CONTROL'!R1063</f>
        <v>W9 TOTTUS - NIDO (MARCO NUTRI ESENCIAL)</v>
      </c>
      <c r="B555" s="19" t="s">
        <v>1112</v>
      </c>
    </row>
    <row r="556" spans="1:2">
      <c r="A556" t="str">
        <f>'[1]PANEL DE CONTROL'!R1064</f>
        <v>W9 UNIMARC - NIDO (VIBRIN NIDO CHOCOLATE)</v>
      </c>
      <c r="B556" s="19" t="s">
        <v>1112</v>
      </c>
    </row>
    <row r="557" spans="1:2">
      <c r="A557" t="str">
        <f>'[1]PANEL DE CONTROL'!R1065</f>
        <v>W9 UNIMARC - NIDO (MARCO PRECIO NIDO CHOCOLATE)</v>
      </c>
      <c r="B557" s="19" t="s">
        <v>1112</v>
      </c>
    </row>
    <row r="558" spans="1:2">
      <c r="A558" t="str">
        <f>'[1]PANEL DE CONTROL'!R1066</f>
        <v>W9 UNIMARC - NIDO (FLEJERA EN L NIDO CHOCOLATE)</v>
      </c>
      <c r="B558" s="19" t="s">
        <v>1112</v>
      </c>
    </row>
    <row r="559" spans="1:2">
      <c r="A559" t="str">
        <f>'[1]PANEL DE CONTROL'!R1067</f>
        <v>W9 UNIMARC - NIDO (FLEJERA NUTRI ESENCIAL)</v>
      </c>
      <c r="B559" s="19" t="s">
        <v>1112</v>
      </c>
    </row>
    <row r="560" spans="1:2">
      <c r="A560" t="str">
        <f>'[1]PANEL DE CONTROL'!R1068</f>
        <v>W9 UNIMARC - NIDO (VIBRIN NUTRI ESENCIAL )</v>
      </c>
      <c r="B560" s="19" t="s">
        <v>1112</v>
      </c>
    </row>
    <row r="561" spans="1:2">
      <c r="A561" t="str">
        <f>'[1]PANEL DE CONTROL'!R1069</f>
        <v>W9 UNIMARC - NIDO (MARCO NUTRI ESENCIAL)</v>
      </c>
      <c r="B561" s="19" t="s">
        <v>1112</v>
      </c>
    </row>
    <row r="562" spans="1:2">
      <c r="A562" t="str">
        <f>'[1]PANEL DE CONTROL'!R1070</f>
        <v>W8 JUMBO -  DISTRIBUCION NIDO CHOCOLATE  (GANCHERA)</v>
      </c>
      <c r="B562" s="19" t="s">
        <v>1107</v>
      </c>
    </row>
    <row r="563" spans="1:2">
      <c r="A563" t="str">
        <f>'[1]PANEL DE CONTROL'!R1071</f>
        <v>W8 SISA -  DISTRIBUCION NIDO CHOCOLATE (GANCHERA)</v>
      </c>
      <c r="B563" s="19" t="s">
        <v>1107</v>
      </c>
    </row>
    <row r="564" spans="1:2">
      <c r="A564" t="str">
        <f>'[1]PANEL DE CONTROL'!R1072</f>
        <v>W9 ALVI - PASCUA (PEDESTAL ANTIBRECHA)</v>
      </c>
      <c r="B564" s="19" t="s">
        <v>1113</v>
      </c>
    </row>
    <row r="565" spans="1:2">
      <c r="A565" t="str">
        <f>'[1]PANEL DE CONTROL'!R1073</f>
        <v>W9 ALVI - PASCUA (BOTADERO)</v>
      </c>
      <c r="B565" s="19" t="s">
        <v>1113</v>
      </c>
    </row>
    <row r="566" spans="1:2">
      <c r="A566" t="str">
        <f>'[1]PANEL DE CONTROL'!R1074</f>
        <v>W9 MAYORISTA 10 - PASCUA (PEDESTAL ANTIBRECHA)</v>
      </c>
      <c r="B566" s="19" t="s">
        <v>1113</v>
      </c>
    </row>
    <row r="567" spans="1:2">
      <c r="A567" t="str">
        <f>'[1]PANEL DE CONTROL'!R1075</f>
        <v>W9 MAYORISTA 10 - PASCUA (BOTADERO)</v>
      </c>
      <c r="B567" s="19" t="s">
        <v>1113</v>
      </c>
    </row>
    <row r="568" spans="1:2">
      <c r="A568" t="str">
        <f>'[1]PANEL DE CONTROL'!R1076</f>
        <v>W9 SUPER 10 - PASCUA (PEDESTAL ANTIBRECHA)</v>
      </c>
      <c r="B568" s="19" t="s">
        <v>1113</v>
      </c>
    </row>
    <row r="569" spans="1:2">
      <c r="A569" t="str">
        <f>'[1]PANEL DE CONTROL'!R1077</f>
        <v>W9 SUPER 10 - PASCUA (BOTADERO)</v>
      </c>
      <c r="B569" s="19" t="s">
        <v>1113</v>
      </c>
    </row>
    <row r="570" spans="1:2">
      <c r="A570" t="str">
        <f>'[1]PANEL DE CONTROL'!R1078</f>
        <v>W9 UNIMARC - PASCUA (PEDESTAL ANTIBRECHA)</v>
      </c>
      <c r="B570" s="19" t="s">
        <v>1113</v>
      </c>
    </row>
    <row r="571" spans="1:2">
      <c r="A571" t="str">
        <f>'[1]PANEL DE CONTROL'!R1079</f>
        <v>W9 UNIMARC - PASCUA (BOTADERO)</v>
      </c>
      <c r="B571" s="19" t="s">
        <v>1113</v>
      </c>
    </row>
    <row r="572" spans="1:2">
      <c r="A572" t="str">
        <f>'[1]PANEL DE CONTROL'!R1080</f>
        <v>W9 TOTTUS - PASCUA (PEDESTAL ANTIBRECHA)</v>
      </c>
      <c r="B572" s="19" t="s">
        <v>1114</v>
      </c>
    </row>
    <row r="573" spans="1:2">
      <c r="A573" t="str">
        <f>'[1]PANEL DE CONTROL'!R1081</f>
        <v>W10 JUMBO -  REVESTIMIENTO ISLA SAHNE NUSS (REVESTIMIENTO)</v>
      </c>
      <c r="B573" t="s">
        <v>1115</v>
      </c>
    </row>
    <row r="574" spans="1:2">
      <c r="A574" t="str">
        <f>'[1]PANEL DE CONTROL'!R1082</f>
        <v>W11 NESTLE - SALAS DE VENTA NESTLE PASCUA (PAYLOADER)</v>
      </c>
      <c r="B574" s="18" t="s">
        <v>1116</v>
      </c>
    </row>
    <row r="575" spans="1:2">
      <c r="A575" t="str">
        <f>'[1]PANEL DE CONTROL'!R1083</f>
        <v>W11 OXXO - CABECERAS HUEVITOS 2025 (CABECERA SIMPLE 4 CABECERA SIMPLE 5)</v>
      </c>
      <c r="B575" s="18" t="s">
        <v>1117</v>
      </c>
    </row>
    <row r="576" spans="1:2">
      <c r="A576" t="str">
        <f>'[1]PANEL DE CONTROL'!R1084</f>
        <v>W11 OXXO - CABECERAS HUEVITOS 2025 (CABECERA SIMPLE 4 CABECERA SIMPLE 5)</v>
      </c>
      <c r="B576" s="18" t="s">
        <v>1117</v>
      </c>
    </row>
    <row r="577" spans="1:2">
      <c r="A577" t="str">
        <f>'[1]PANEL DE CONTROL'!R1085</f>
        <v>W13 JUMBO - PASCUA (MEDIA EXHIBICIÓN (0,5))</v>
      </c>
      <c r="B577" s="18" t="s">
        <v>1118</v>
      </c>
    </row>
    <row r="578" spans="1:2">
      <c r="A578" t="str">
        <f>'[1]PANEL DE CONTROL'!R1086</f>
        <v>W13 JUMBO - PASCUA (EXHIBICION COMPLETA (1))</v>
      </c>
      <c r="B578" s="18" t="s">
        <v>1118</v>
      </c>
    </row>
    <row r="579" spans="1:2">
      <c r="A579" t="str">
        <f>'[1]PANEL DE CONTROL'!R1087</f>
        <v>W13 JUMBO - PASCUA (PEDESTALES NESTLE)</v>
      </c>
      <c r="B579" s="18" t="s">
        <v>1118</v>
      </c>
    </row>
    <row r="580" spans="1:2">
      <c r="A580" t="str">
        <f>'[1]PANEL DE CONTROL'!R1088</f>
        <v>W13 JUMBO - PASCUA (BOTADERO NESTLE)</v>
      </c>
      <c r="B580" s="18" t="s">
        <v>1118</v>
      </c>
    </row>
    <row r="581" spans="1:2">
      <c r="A581" t="str">
        <f>'[1]PANEL DE CONTROL'!R1089</f>
        <v>W13 SISA - PASCUA (PEDESTALES NESTLE)</v>
      </c>
      <c r="B581" s="18" t="s">
        <v>1118</v>
      </c>
    </row>
    <row r="582" spans="1:2">
      <c r="A582" t="str">
        <f>'[1]PANEL DE CONTROL'!R1090</f>
        <v>W13 SISA - PASCUA (BOTADERO NESTLE)</v>
      </c>
      <c r="B582" s="18" t="s">
        <v>1118</v>
      </c>
    </row>
    <row r="583" spans="1:2">
      <c r="A583" t="str">
        <f>'[1]PANEL DE CONTROL'!R1091</f>
        <v>W12 SSRR - PASCUA (PAYLOADER Y REVESTIMIENTO TRENCITO PASCUA)</v>
      </c>
      <c r="B583" s="18" t="s">
        <v>1119</v>
      </c>
    </row>
    <row r="584" spans="1:2">
      <c r="A584" t="e">
        <f>'[1]PANEL DE CONTROL'!#REF!</f>
        <v>#REF!</v>
      </c>
      <c r="B584" s="18" t="s">
        <v>1119</v>
      </c>
    </row>
    <row r="585" spans="1:2">
      <c r="A585" t="str">
        <f>'[1]PANEL DE CONTROL'!R1092</f>
        <v>W13 HIPER LIDER - METRO REVESTIMIENTO CABECERA (REVESTIMIENTO CABECERA SAHNE NUSS)</v>
      </c>
      <c r="B585" s="18" t="s">
        <v>1120</v>
      </c>
    </row>
    <row r="586" spans="1:2">
      <c r="A586" t="str">
        <f>'[1]PANEL DE CONTROL'!R1093</f>
        <v>W13 HIPER LIDER - METRO TREND SAHNE NUSS (METRO TREND SAHNE NUSS)</v>
      </c>
      <c r="B586" s="18" t="s">
        <v>1120</v>
      </c>
    </row>
    <row r="587" spans="1:2">
      <c r="A587" t="str">
        <f>'[1]PANEL DE CONTROL'!R1094</f>
        <v>W13 HIPER LIDER - METRO TREND SAHNE NUSS (FLEJERA SAHNE NUSS)</v>
      </c>
      <c r="B587" s="18" t="s">
        <v>1120</v>
      </c>
    </row>
    <row r="588" spans="1:2">
      <c r="A588" t="str">
        <f>'[1]PANEL DE CONTROL'!R1095</f>
        <v>W13 LIDER EXPRESS - METRO TREND SAHNE NUSS (METRO TREND SAHNE NUSS)</v>
      </c>
      <c r="B588" s="18" t="s">
        <v>1120</v>
      </c>
    </row>
    <row r="589" spans="1:2">
      <c r="A589" t="str">
        <f>'[1]PANEL DE CONTROL'!R1096</f>
        <v>W13 LIDER EXPRESS - METRO TREND SAHNE NUSS (FLEJERA SAHNE NUSS)</v>
      </c>
      <c r="B589" s="18" t="s">
        <v>1120</v>
      </c>
    </row>
    <row r="590" spans="1:2">
      <c r="A590" t="str">
        <f>'[1]PANEL DE CONTROL'!R1097</f>
        <v>W13 HIPER LIDER - STOPPER XL SAHNE NUSS (STOPPER SAHNE NUSS)</v>
      </c>
      <c r="B590" s="18" t="s">
        <v>1120</v>
      </c>
    </row>
    <row r="591" spans="1:2">
      <c r="A591" t="str">
        <f>'[1]PANEL DE CONTROL'!R1098</f>
        <v>W13 LIDER EXPRESS - STOPPER XL SAHNE NUSS (STOPPER SAHNE NUSS)</v>
      </c>
      <c r="B591" s="18" t="s">
        <v>1120</v>
      </c>
    </row>
    <row r="592" spans="1:2">
      <c r="A592" t="str">
        <f>'[1]PANEL DE CONTROL'!R1099</f>
        <v>W13 JUMBO - GANCHERA SAHNE NUSS (GANCHERA SAHNE NUSS ANTIBRECHA)</v>
      </c>
      <c r="B592" s="18" t="s">
        <v>1121</v>
      </c>
    </row>
    <row r="593" spans="1:2">
      <c r="A593" t="str">
        <f>'[1]PANEL DE CONTROL'!R1100</f>
        <v>W13 SISA - PAYLOADER SAHNE NUSS (PAYLOADERS SAHNE NUSS)</v>
      </c>
      <c r="B593" s="18" t="s">
        <v>1121</v>
      </c>
    </row>
    <row r="594" spans="1:2">
      <c r="A594" t="str">
        <f>'[1]PANEL DE CONTROL'!R1101</f>
        <v>W13 JUMBO -  GANCHERA RINDE CARNE MAGGI (GANCHERA)</v>
      </c>
      <c r="B594" s="18" t="s">
        <v>1122</v>
      </c>
    </row>
    <row r="595" spans="1:2">
      <c r="A595" t="str">
        <f>'[1]PANEL DE CONTROL'!R1102</f>
        <v>W13 SISA -  GANCHERA RINDE CARNE MAGGI (GANCHERA)</v>
      </c>
      <c r="B595" s="18" t="s">
        <v>1123</v>
      </c>
    </row>
    <row r="596" spans="1:2">
      <c r="A596" t="str">
        <f>'[1]PANEL DE CONTROL'!R1103</f>
        <v>W15 SSRR - RECETAS NESTLÉ(ISLA MAGGI ISLA TRITON ISLA MANJAR)</v>
      </c>
      <c r="B596" s="18" t="s">
        <v>1124</v>
      </c>
    </row>
    <row r="597" spans="1:2">
      <c r="A597" t="str">
        <f>'[1]PANEL DE CONTROL'!R1104</f>
        <v>W15 SSRR - RECETAS NESTLÉ(ISLA MAGGI ISLA TRITON ISLA MANJAR)</v>
      </c>
      <c r="B597" s="18" t="s">
        <v>1124</v>
      </c>
    </row>
    <row r="598" spans="1:2">
      <c r="A598" t="str">
        <f>'[1]PANEL DE CONTROL'!R1105</f>
        <v>W15 SSRR - RECETAS NESTLÉ(ISLA MAGGI ISLA TRITON ISLA MANJAR)</v>
      </c>
      <c r="B598" s="18" t="s">
        <v>1124</v>
      </c>
    </row>
    <row r="599" spans="1:2">
      <c r="A599" t="str">
        <f>'[1]PANEL DE CONTROL'!R1106</f>
        <v>W16 TOTTUS - GANCHERA RINDE CARNE MAGGI (GANCHERA)</v>
      </c>
      <c r="B599" s="18" t="s">
        <v>1122</v>
      </c>
    </row>
    <row r="600" spans="1:2">
      <c r="A600" t="str">
        <f>'[1]PANEL DE CONTROL'!R1107</f>
        <v>W17 HIPER LIDER - REFORESTEMOS (ISLA NESTLE)</v>
      </c>
      <c r="B600" s="18" t="s">
        <v>1125</v>
      </c>
    </row>
    <row r="601" spans="1:2">
      <c r="A601" t="str">
        <f>'[1]PANEL DE CONTROL'!R1108</f>
        <v>W17 HIPER LIDER - REFORESTEMOS (ISLA P&amp;G)</v>
      </c>
      <c r="B601" s="18" t="s">
        <v>1125</v>
      </c>
    </row>
    <row r="602" spans="1:2">
      <c r="A602" t="str">
        <f>'[1]PANEL DE CONTROL'!R1109</f>
        <v>W17 HIPER LIDER - REFORESTEMOS (ISLA MIXTA)</v>
      </c>
      <c r="B602" s="18" t="s">
        <v>1125</v>
      </c>
    </row>
    <row r="603" spans="1:2">
      <c r="A603" t="str">
        <f>'[1]PANEL DE CONTROL'!R1110</f>
        <v>W16 UNIMARC - DIA DE LA MADRE (PAYLOADER SAHNE NUSS REGALA AMOR)</v>
      </c>
      <c r="B603" s="18" t="s">
        <v>1126</v>
      </c>
    </row>
    <row r="604" spans="1:2">
      <c r="A604" t="str">
        <f>'[1]PANEL DE CONTROL'!R1111</f>
        <v>W16 UNIMARC - DIA DE LA MADRE (EXPOSICION 1/3 SAHNE NUSS)</v>
      </c>
      <c r="B604" s="18" t="s">
        <v>1126</v>
      </c>
    </row>
    <row r="605" spans="1:2">
      <c r="A605" t="str">
        <f>'[1]PANEL DE CONTROL'!R1112</f>
        <v>W16 UNIMARC - DIA DE LA MADRE (ISLA DIA DE LA MADRE SAHNE NUSS)</v>
      </c>
      <c r="B605" s="18" t="s">
        <v>1126</v>
      </c>
    </row>
    <row r="606" spans="1:2">
      <c r="A606" t="str">
        <f>'[1]PANEL DE CONTROL'!R1113</f>
        <v>W17 SISA - PAYLOADER MAGGI TUCCO 200G (PAYLOADER)</v>
      </c>
      <c r="B606" s="18" t="s">
        <v>1127</v>
      </c>
    </row>
    <row r="607" spans="1:2">
      <c r="A607" t="str">
        <f>'[1]PANEL DE CONTROL'!R1114</f>
        <v>W17 SISA - PAYLOADER MAGGI (PAYLOADER)</v>
      </c>
      <c r="B607" s="18" t="s">
        <v>1128</v>
      </c>
    </row>
    <row r="608" spans="1:2">
      <c r="A608" t="str">
        <f>'[1]PANEL DE CONTROL'!R1115</f>
        <v>W18 TOTTUS - DIA DE LA MADRE (ISLA)</v>
      </c>
      <c r="B608" s="18" t="s">
        <v>1126</v>
      </c>
    </row>
    <row r="609" spans="1:2">
      <c r="A609" t="str">
        <f>'[1]PANEL DE CONTROL'!R1116</f>
        <v>W18 HIPER LIDER - DIA DE LA MADRE (CUBREPALLETS)</v>
      </c>
      <c r="B609" s="18" t="s">
        <v>1126</v>
      </c>
    </row>
    <row r="610" spans="1:2">
      <c r="A610" t="str">
        <f>'[1]PANEL DE CONTROL'!R1117</f>
        <v>W17 HIPER LIDER - HOTSPOT TRENCITO (HOTSPOT)</v>
      </c>
      <c r="B610" s="18" t="s">
        <v>301</v>
      </c>
    </row>
    <row r="611" spans="1:2">
      <c r="A611" t="str">
        <f>'[1]PANEL DE CONTROL'!R1118</f>
        <v>W17 ACUENTA - PAYLOADEAR SAHNE NUSS CON CENEFA DIA DE LA MADRE (PAYLOADER)</v>
      </c>
      <c r="B611" s="18" t="s">
        <v>1126</v>
      </c>
    </row>
    <row r="612" spans="1:2">
      <c r="A612" t="str">
        <f>'[1]PANEL DE CONTROL'!R1119</f>
        <v>W17 ACUENTA - PAYLOADEAR SAHNE NUSS CON CENEFA DIA DE LA MADRE (CENEFA)</v>
      </c>
      <c r="B612" s="18" t="s">
        <v>1126</v>
      </c>
    </row>
    <row r="613" spans="1:2">
      <c r="A613" t="str">
        <f>'[1]PANEL DE CONTROL'!R1120</f>
        <v>W16 TOTTUS - GANCHERA SAHNE NUSS (GANCHERA)</v>
      </c>
      <c r="B613" s="18" t="s">
        <v>1126</v>
      </c>
    </row>
    <row r="614" spans="1:2">
      <c r="A614" t="str">
        <f>'[1]PANEL DE CONTROL'!R1121</f>
        <v>W19 TOTTUS - CAMPAÑA BUENA VIDA (ISLA BUENA VIDA )</v>
      </c>
      <c r="B614" s="18" t="s">
        <v>1129</v>
      </c>
    </row>
    <row r="615" spans="1:2">
      <c r="A615" t="str">
        <f>'[1]PANEL DE CONTROL'!R1122</f>
        <v>W19 TOTTUS - CAMPAÑA BUENA VIDA (ISLA RECETA SOPA)</v>
      </c>
      <c r="B615" s="18" t="s">
        <v>1129</v>
      </c>
    </row>
    <row r="616" spans="1:2">
      <c r="A616" t="str">
        <f>'[1]PANEL DE CONTROL'!R1123</f>
        <v>CAMPAÑA RETIRO PAYLOADERS NATURNES LISTA 1 WALMART</v>
      </c>
      <c r="B616" s="18" t="s">
        <v>1130</v>
      </c>
    </row>
    <row r="617" spans="1:2">
      <c r="A617" t="str">
        <f>'[1]PANEL DE CONTROL'!R1124</f>
        <v>W19 TOTTUS - CAMPAÑA BUENA VIDA (CABECERA)</v>
      </c>
      <c r="B617" s="18" t="s">
        <v>1129</v>
      </c>
    </row>
    <row r="618" spans="1:2">
      <c r="A618" t="str">
        <f>'[1]PANEL DE CONTROL'!R1125</f>
        <v>W19 TOTTUS - CAMPAÑA BUENA VIDA (VIBRIN)</v>
      </c>
      <c r="B618" s="18" t="s">
        <v>1129</v>
      </c>
    </row>
    <row r="619" spans="1:2">
      <c r="A619" t="str">
        <f>'[1]PANEL DE CONTROL'!R1126</f>
        <v>W19 TOTTUS - CAMPAÑA BUENA VIDA (STOPPER)</v>
      </c>
      <c r="B619" s="18" t="s">
        <v>1129</v>
      </c>
    </row>
    <row r="620" spans="1:2">
      <c r="A620" t="str">
        <f>'[1]PANEL DE CONTROL'!R1127</f>
        <v>W21 HIPER LIDER - QR REFORESTEMOS (QR ISLA NESTLE)</v>
      </c>
      <c r="B620" s="18" t="s">
        <v>1125</v>
      </c>
    </row>
    <row r="621" spans="1:2">
      <c r="A621" t="str">
        <f>'[1]PANEL DE CONTROL'!R1128</f>
        <v>W21 HIPER LIDER - QR REFORESTEMOS (QR ISLA MIXTA)</v>
      </c>
      <c r="B621" s="18" t="s">
        <v>1125</v>
      </c>
    </row>
    <row r="622" spans="1:2">
      <c r="A622" t="str">
        <f>'[1]PANEL DE CONTROL'!R1129</f>
        <v>W21 HIPER LIDER - QR REFORESTEMOS (QR ISLA P&amp;G)</v>
      </c>
      <c r="B622" s="18" t="s">
        <v>1125</v>
      </c>
    </row>
    <row r="623" spans="1:2">
      <c r="A623" t="str">
        <f>'[1]PANEL DE CONTROL'!R1130</f>
        <v>W22 JUMBO - CAMPAÑA RECETAS NESTLE (ISLA TRES LECHES)</v>
      </c>
      <c r="B623" s="18" t="s">
        <v>1071</v>
      </c>
    </row>
    <row r="624" spans="1:2">
      <c r="A624" t="str">
        <f>'[1]PANEL DE CONTROL'!R1131</f>
        <v>W22 JUMBO - CAMPAÑA RECETAS NESTLE (ISLA TRITON)</v>
      </c>
      <c r="B624" s="18" t="s">
        <v>1071</v>
      </c>
    </row>
    <row r="625" spans="1:2">
      <c r="A625" t="str">
        <f>'[1]PANEL DE CONTROL'!R1132</f>
        <v>W22 TOTTUS - CAMPAÑA BUENA VIDA (ARCO)</v>
      </c>
      <c r="B625" s="18" t="s">
        <v>1129</v>
      </c>
    </row>
    <row r="626" spans="1:2">
      <c r="A626" t="str">
        <f>'[1]PANEL DE CONTROL'!R1133</f>
        <v>W22 UNIMARC - CAMPAÑA BUENA VIDA (PAYLOADER)</v>
      </c>
      <c r="B626" s="18" t="s">
        <v>1129</v>
      </c>
    </row>
    <row r="627" spans="1:2">
      <c r="A627" t="str">
        <f>'[1]PANEL DE CONTROL'!R1134</f>
        <v>W22 UNIMARC - CAMPAÑA BUENA VIDA (ISLA)</v>
      </c>
      <c r="B627" s="18" t="s">
        <v>1129</v>
      </c>
    </row>
    <row r="628" spans="1:2">
      <c r="A628" t="str">
        <f>'[1]PANEL DE CONTROL'!R1135</f>
        <v>W22 UNIMARC - CAMPAÑA BUENA VIDA (CABECERA)</v>
      </c>
      <c r="B628" s="18" t="s">
        <v>1129</v>
      </c>
    </row>
    <row r="629" spans="1:2">
      <c r="A629" t="str">
        <f>'[1]PANEL DE CONTROL'!R1136</f>
        <v>W22 UNIMARC - CAMPAÑA BUENA VIDA (STOPPER)</v>
      </c>
      <c r="B629" s="18" t="s">
        <v>1129</v>
      </c>
    </row>
    <row r="630" spans="1:2">
      <c r="A630" t="str">
        <f>'[1]PANEL DE CONTROL'!R1137</f>
        <v>W22 UNIMARC - CAMPAÑA BUENA VIDA (VIBRIN)</v>
      </c>
      <c r="B630" s="18" t="s">
        <v>1129</v>
      </c>
    </row>
    <row r="631" spans="1:2">
      <c r="A631" t="str">
        <f>'[1]PANEL DE CONTROL'!R1138</f>
        <v>W22 SISA - TRENCITO (PAYLOADER)</v>
      </c>
      <c r="B631" s="18" t="s">
        <v>301</v>
      </c>
    </row>
    <row r="632" spans="1:2">
      <c r="A632" t="str">
        <f>'[1]PANEL DE CONTROL'!R1139</f>
        <v>W22 UNIMARC - TRENCITO (PAYLOADER)</v>
      </c>
      <c r="B632" s="18" t="s">
        <v>301</v>
      </c>
    </row>
    <row r="633" spans="1:2">
      <c r="A633" t="str">
        <f>'[1]PANEL DE CONTROL'!R1140</f>
        <v>W22 UNIMARC - TRENCITO (ISLA)</v>
      </c>
      <c r="B633" s="18" t="s">
        <v>301</v>
      </c>
    </row>
    <row r="634" spans="1:2">
      <c r="A634" t="str">
        <f>'[1]PANEL DE CONTROL'!R1141</f>
        <v>W24 HIPER LIDER - PAYLOADER NATURNES L2 TRAFICO (PAYLOADER)</v>
      </c>
      <c r="B634" s="18" t="s">
        <v>1131</v>
      </c>
    </row>
    <row r="635" spans="1:2">
      <c r="A635" t="str">
        <f>'[1]PANEL DE CONTROL'!R1142</f>
        <v>W24 LIDER EXPRESS - PAYLOADER NATURNES L2 TRAFICO (PAYLOADER)</v>
      </c>
      <c r="B635" s="18" t="s">
        <v>1131</v>
      </c>
    </row>
    <row r="636" spans="1:2">
      <c r="A636" t="str">
        <f>'[1]PANEL DE CONTROL'!R1143</f>
        <v>W24 HIPER LIDER - REVESTIMIENTO MANJAR L2 TRÁFICO (REVESTIMIENTO ISLA)</v>
      </c>
      <c r="B636" s="18" t="s">
        <v>1131</v>
      </c>
    </row>
    <row r="637" spans="1:2">
      <c r="A637" t="str">
        <f>'[1]PANEL DE CONTROL'!R1144</f>
        <v>W24 ACUENTA - REVESTIMIENTO MANJAR L2 TRÁFICO (REVESTIMIENTO ISLA)</v>
      </c>
      <c r="B637" s="18" t="s">
        <v>1131</v>
      </c>
    </row>
    <row r="638" spans="1:2">
      <c r="A638" t="str">
        <f>'[1]PANEL DE CONTROL'!R1145</f>
        <v>W24 LIDER EXPRESS -  DISTRIBUCION CABECERA MILO NIDO LISTA TRAFICO (CABECERA)</v>
      </c>
      <c r="B638" s="18" t="s">
        <v>1131</v>
      </c>
    </row>
    <row r="639" spans="1:2">
      <c r="A639" t="str">
        <f>'[1]PANEL DE CONTROL'!R1146</f>
        <v>W24 HIPER LIDER -  DISTRIBUCION CABECERA MILO NIDO LISTA TRAFICO (CABECERA)</v>
      </c>
      <c r="B639" s="18" t="s">
        <v>1131</v>
      </c>
    </row>
    <row r="640" spans="1:2">
      <c r="A640" t="str">
        <f>'[1]PANEL DE CONTROL'!R1147</f>
        <v>W24 HIPER LIDER -  DISTRIBUCION PAYLOADER MILO NIDO LISTA TRAFICO (PAYLODERS NIDO/MILO)</v>
      </c>
      <c r="B640" s="18" t="s">
        <v>1131</v>
      </c>
    </row>
    <row r="641" spans="1:2">
      <c r="A641" t="str">
        <f>'[1]PANEL DE CONTROL'!R1148</f>
        <v>W24 HIPER LIDER -  DISTRIBUCION STOPPER GIRATORIO LISTA TRAFICO 2 (STOPPER GIRATORIO)</v>
      </c>
      <c r="B641" s="18" t="s">
        <v>1131</v>
      </c>
    </row>
    <row r="642" spans="1:2">
      <c r="A642" t="str">
        <f>'[1]PANEL DE CONTROL'!R1149</f>
        <v>W24 LIDER EXPRESS -  DISTRIBUCION STOPPER GIRATORIO LISTA TRAFICO 2 (STOPPER GIRATORIO)</v>
      </c>
      <c r="B642" s="18" t="s">
        <v>1131</v>
      </c>
    </row>
    <row r="643" spans="1:2">
      <c r="A643" t="str">
        <f>'[1]PANEL DE CONTROL'!R1150</f>
        <v>W25 UNIMARC -  DISTRIBUCION RINDE CARNE MAGGI (GANCHERA)</v>
      </c>
      <c r="B643" s="18" t="s">
        <v>1132</v>
      </c>
    </row>
    <row r="644" spans="1:2">
      <c r="A644" t="str">
        <f>'[1]PANEL DE CONTROL'!R1151</f>
        <v>W25 UNIMARC -  CAMPAÑA CABECERA MILO (REVESTIMIENTO CABECERA)</v>
      </c>
      <c r="B644" s="18" t="s">
        <v>1036</v>
      </c>
    </row>
    <row r="645" spans="1:2">
      <c r="A645" t="str">
        <f>'[1]PANEL DE CONTROL'!R1152</f>
        <v>W25 UNIMARC - BOTADERO MCKAY (BOTADERO CON MICA)</v>
      </c>
      <c r="B645" s="18" t="s">
        <v>312</v>
      </c>
    </row>
    <row r="646" spans="1:2">
      <c r="A646" t="str">
        <f>'[1]PANEL DE CONTROL'!R1153</f>
        <v>W25 UNIMARC - CAMPAÑA TUCO 200G (PAYLOADER MAGGI)</v>
      </c>
      <c r="B646" s="18" t="s">
        <v>1127</v>
      </c>
    </row>
    <row r="647" spans="1:2">
      <c r="A647" t="str">
        <f>'[1]PANEL DE CONTROL'!R1154</f>
        <v>W25 MAYORISTA 10 - CAMPAÑA TUCO 200G (PAYLOADER MAGGI)</v>
      </c>
      <c r="B647" s="18" t="s">
        <v>1127</v>
      </c>
    </row>
    <row r="648" spans="1:2">
      <c r="A648" t="str">
        <f>'[1]PANEL DE CONTROL'!R1155</f>
        <v>W25 MAYORISTA 10 - CAMPAÑA TUCO 200G (PAYLOADER GENERICO)</v>
      </c>
      <c r="B648" s="18" t="s">
        <v>1127</v>
      </c>
    </row>
    <row r="649" spans="1:2">
      <c r="A649" t="str">
        <f>'[1]PANEL DE CONTROL'!R1156</f>
        <v>W24 HIPER LIDER - GOODNES CREMOSO (STOPPER)</v>
      </c>
      <c r="B649" s="18" t="s">
        <v>1133</v>
      </c>
    </row>
    <row r="650" spans="1:2">
      <c r="A650" t="str">
        <f>'[1]PANEL DE CONTROL'!R1157</f>
        <v>W26 JUMBO - ISLA TRENCITO (ISLA)</v>
      </c>
      <c r="B650" s="18" t="s">
        <v>301</v>
      </c>
    </row>
    <row r="651" spans="1:2">
      <c r="A651" t="str">
        <f>'[1]PANEL DE CONTROL'!R1158</f>
        <v>W26 JUMBO -  NIDO 5+ (GANCHERA)</v>
      </c>
      <c r="B651" s="18" t="s">
        <v>1134</v>
      </c>
    </row>
    <row r="652" spans="1:2">
      <c r="A652" t="str">
        <f>'[1]PANEL DE CONTROL'!R1159</f>
        <v>W26 SISA -  NIDO NUTRI ESENCIAL (GANCHERA)</v>
      </c>
      <c r="B652" s="18" t="s">
        <v>1058</v>
      </c>
    </row>
    <row r="653" spans="1:2">
      <c r="A653" t="str">
        <f>'[1]PANEL DE CONTROL'!R1160</f>
        <v>W26 HIPER LIDER - PAYLOADER CALDOS MAGGI (PAYLOADER)</v>
      </c>
      <c r="B653" s="18" t="s">
        <v>1135</v>
      </c>
    </row>
    <row r="654" spans="1:2">
      <c r="A654" t="str">
        <f>'[1]PANEL DE CONTROL'!R1161</f>
        <v>W27 JUMBO - GANCHERA SAHNE NUSS (GANCHERA)</v>
      </c>
      <c r="B654" s="18" t="s">
        <v>1136</v>
      </c>
    </row>
    <row r="655" spans="1:2">
      <c r="A655" t="str">
        <f>'[1]PANEL DE CONTROL'!R1162</f>
        <v>W26 JUMBO - GANCHERA TRENCITO LATERAL (GANCHERA)</v>
      </c>
      <c r="B655" s="18" t="s">
        <v>1136</v>
      </c>
    </row>
    <row r="656" spans="1:2">
      <c r="A656" t="str">
        <f>'[1]PANEL DE CONTROL'!R1163</f>
        <v>W27 SSRR - RECETAS NESTLÉ (REVESTIMIENTO ISLA SOPAS)</v>
      </c>
      <c r="B656" s="18" t="s">
        <v>1071</v>
      </c>
    </row>
    <row r="657" spans="1:2">
      <c r="A657" t="str">
        <f>'[1]PANEL DE CONTROL'!R1164</f>
        <v>W27 SSRR - RECETAS NESTLÉ (REVESTIMIENTO ISLA CHEESECAKE)</v>
      </c>
      <c r="B657" s="18" t="s">
        <v>1071</v>
      </c>
    </row>
    <row r="658" spans="1:2">
      <c r="A658" t="str">
        <f>'[1]PANEL DE CONTROL'!R1165</f>
        <v>W26 JUMBO - HOTSPOT TRENCITO (HOTSPOT)</v>
      </c>
      <c r="B658" s="18" t="s">
        <v>301</v>
      </c>
    </row>
    <row r="659" spans="1:2">
      <c r="A659" t="str">
        <f>'[1]PANEL DE CONTROL'!R1166</f>
        <v>W25 UNIMARC - BOTADERO MCKAY (BOTADERO)</v>
      </c>
      <c r="B659" s="18" t="s">
        <v>312</v>
      </c>
    </row>
    <row r="660" spans="1:2">
      <c r="A660" t="str">
        <f>'[1]PANEL DE CONTROL'!R1167</f>
        <v>W25 MAYORISTA 10 - BOTADERO MCKAY (BOTADERO)</v>
      </c>
      <c r="B660" s="18" t="s">
        <v>312</v>
      </c>
    </row>
    <row r="661" spans="1:2">
      <c r="A661" t="str">
        <f>'[1]PANEL DE CONTROL'!R1168</f>
        <v>W25 SUPER 10 - BOTADERO MCKAY (BOTADERO)</v>
      </c>
      <c r="B661" s="18" t="s">
        <v>312</v>
      </c>
    </row>
    <row r="662" spans="1:2">
      <c r="A662" t="str">
        <f>'[1]PANEL DE CONTROL'!R1169</f>
        <v>W28 UPA - GALLETAS NESTLÉ (PAYLOADER)</v>
      </c>
      <c r="B662" s="18" t="s">
        <v>1137</v>
      </c>
    </row>
    <row r="663" spans="1:2">
      <c r="A663" t="str">
        <f>'[1]PANEL DE CONTROL'!R1170</f>
        <v>W28 UNIMARC - ISLA SAHNE NUSS (ISLA)</v>
      </c>
      <c r="B663" s="18" t="s">
        <v>1136</v>
      </c>
    </row>
    <row r="664" spans="1:2">
      <c r="A664" t="str">
        <f>'[1]PANEL DE CONTROL'!R1171</f>
        <v>W28 UNIMARC - PAYLOADER SAHNE NUSS (PAYLOADER)</v>
      </c>
      <c r="B664" s="18" t="s">
        <v>1136</v>
      </c>
    </row>
    <row r="665" spans="1:2">
      <c r="A665" t="str">
        <f>'[1]PANEL DE CONTROL'!R1172</f>
        <v>W28 ACUENTA - PAYLOADER TRITON INTENSA (PAYLOADER)</v>
      </c>
      <c r="B665" s="18" t="s">
        <v>1138</v>
      </c>
    </row>
    <row r="666" spans="1:2">
      <c r="A666" t="str">
        <f>'[1]PANEL DE CONTROL'!R1173</f>
        <v>W30 HIPER LIDER - ISLA MCKAY (ISLA)</v>
      </c>
      <c r="B666" s="18" t="s">
        <v>312</v>
      </c>
    </row>
    <row r="667" spans="1:2">
      <c r="A667" t="str">
        <f>'[1]PANEL DE CONTROL'!R1174</f>
        <v>W30 HIPER LIDER - ISLA SAHNENUSS (ISLA)</v>
      </c>
      <c r="B667" s="18" t="s">
        <v>1136</v>
      </c>
    </row>
    <row r="668" spans="1:2">
      <c r="A668" t="str">
        <f>'[1]PANEL DE CONTROL'!R1175</f>
        <v>W30 HIPER LIDER - PAYLOADEAR TRITON INTENSA (PAYLOADER)</v>
      </c>
      <c r="B668" s="18" t="s">
        <v>1138</v>
      </c>
    </row>
    <row r="669" spans="1:2">
      <c r="A669" t="str">
        <f>'[1]PANEL DE CONTROL'!R1176</f>
        <v>W31 SISA - BOTADERO Y LATERAL SANTO GUSTITO (BOTADERO)</v>
      </c>
      <c r="B669" s="18" t="s">
        <v>298</v>
      </c>
    </row>
    <row r="670" spans="1:2">
      <c r="A670" t="str">
        <f>'[1]PANEL DE CONTROL'!R1177</f>
        <v>W31 SISA - BOTADERO Y LATERAL SANTO GUSTITO (PEDESTAL)</v>
      </c>
      <c r="B670" s="18" t="s">
        <v>298</v>
      </c>
    </row>
    <row r="671" spans="1:2">
      <c r="A671" t="str">
        <f>'[1]PANEL DE CONTROL'!R1178</f>
        <v>W31 SISA - PAYLOADER CALDOS MAGGI (PAYLOADER)</v>
      </c>
      <c r="B671" s="18" t="s">
        <v>1135</v>
      </c>
    </row>
    <row r="672" spans="1:2">
      <c r="A672" t="str">
        <f>'[1]PANEL DE CONTROL'!R1179</f>
        <v>W31 JUMBO - ISLAS MILO (ISLA)</v>
      </c>
      <c r="B672" s="18" t="s">
        <v>1036</v>
      </c>
    </row>
    <row r="673" spans="1:2">
      <c r="A673" t="str">
        <f>'[1]PANEL DE CONTROL'!R1180</f>
        <v>W31 SSRR - TRITON INTENSA (ISLA)</v>
      </c>
      <c r="B673" s="18" t="s">
        <v>1138</v>
      </c>
    </row>
    <row r="674" spans="1:2">
      <c r="A674" t="str">
        <f>'[1]PANEL DE CONTROL'!R1181</f>
        <v>W31 SSRR - TRENCITO (PAYLOADER TRENCITO INVIERNO)</v>
      </c>
      <c r="B674" s="18" t="s">
        <v>301</v>
      </c>
    </row>
    <row r="675" spans="1:2">
      <c r="A675" t="str">
        <f>'[1]PANEL DE CONTROL'!R1182</f>
        <v>W31 SSRR - TRITON INTENSA (PAYLOADER CON REVESTIMIENTO)</v>
      </c>
      <c r="B675" s="18" t="s">
        <v>1138</v>
      </c>
    </row>
    <row r="676" spans="1:2">
      <c r="A676" t="str">
        <f>'[1]PANEL DE CONTROL'!R1183</f>
        <v>W31 TOTTUS - TOTTUS TRENCITO (ISLA)</v>
      </c>
      <c r="B676" s="18" t="s">
        <v>301</v>
      </c>
    </row>
    <row r="677" spans="1:2">
      <c r="A677" t="str">
        <f>'[1]PANEL DE CONTROL'!R1184</f>
        <v>W31 TOTTUS - TOTTUS TRENCITO (ARCO)</v>
      </c>
      <c r="B677" s="18" t="s">
        <v>301</v>
      </c>
    </row>
    <row r="678" spans="1:2">
      <c r="A678" t="str">
        <f>'[1]PANEL DE CONTROL'!R1185</f>
        <v>W30 LIDER EXPRESS - PAYLOADEAR MCKAY MDD(PAYLOADER)</v>
      </c>
      <c r="B678" s="18" t="s">
        <v>298</v>
      </c>
    </row>
    <row r="679" spans="1:2">
      <c r="A679" t="str">
        <f>'[1]PANEL DE CONTROL'!R1186</f>
        <v>W31 JUMBO - ISLA SAHNE NUSS (ISLA)</v>
      </c>
      <c r="B679" s="18" t="s">
        <v>1136</v>
      </c>
    </row>
    <row r="680" spans="1:2">
      <c r="A680" t="str">
        <f>'[1]PANEL DE CONTROL'!R1187</f>
        <v>W31 HIPER LIDER - TRITON Y KIT KAT (REVESTIMIENTO CHECK OUT)</v>
      </c>
      <c r="B680" s="18" t="s">
        <v>1139</v>
      </c>
    </row>
    <row r="681" spans="1:2">
      <c r="A681" t="str">
        <f>'[1]PANEL DE CONTROL'!R1188</f>
        <v>W31 HIPER LIDER - TRITON Y KIT KAT (LATERAL HIPER TRITON INTENSA)</v>
      </c>
      <c r="B681" s="18" t="s">
        <v>1138</v>
      </c>
    </row>
    <row r="682" spans="1:2">
      <c r="A682" t="str">
        <f>'[1]PANEL DE CONTROL'!R1189</f>
        <v>W31 LIDER EXPRESS - TRITON Y KIT KAT (LATERAL HIPER TRITON INTENSA)</v>
      </c>
      <c r="B682" s="18" t="s">
        <v>1138</v>
      </c>
    </row>
    <row r="683" spans="1:2">
      <c r="A683" t="str">
        <f>'[1]PANEL DE CONTROL'!R1190</f>
        <v>W31 HIPER LIDER - TRITON Y KIT KAT (STOPPER TRITON INTENSA)</v>
      </c>
      <c r="B683" s="18" t="s">
        <v>1138</v>
      </c>
    </row>
    <row r="684" spans="1:2">
      <c r="A684" t="str">
        <f>'[1]PANEL DE CONTROL'!R1191</f>
        <v>W31 HIPER LIDER - TRITON Y KIT KAT (MARCO GLORIFICADOR TRITON INTENSA)</v>
      </c>
      <c r="B684" s="18" t="s">
        <v>1138</v>
      </c>
    </row>
    <row r="685" spans="1:2">
      <c r="A685" t="str">
        <f>'[1]PANEL DE CONTROL'!R1192</f>
        <v>W31 UNIMARC - ARCO SAHNENUSS (ARCO)</v>
      </c>
      <c r="B685" s="18" t="s">
        <v>1136</v>
      </c>
    </row>
    <row r="686" spans="1:2">
      <c r="A686" t="str">
        <f>'[1]PANEL DE CONTROL'!R1193</f>
        <v>W31 JUMBO - HOTSPOT TRITON INTENSA (HOTSPOT)</v>
      </c>
      <c r="B686" s="18" t="s">
        <v>1138</v>
      </c>
    </row>
    <row r="687" spans="1:2">
      <c r="A687" t="str">
        <f>'[1]PANEL DE CONTROL'!R1194</f>
        <v>W31 JUMBO - HOTSPOT TRITON INTENSA (MINI HOTSPOT)</v>
      </c>
      <c r="B687" s="18" t="s">
        <v>1138</v>
      </c>
    </row>
    <row r="688" spans="1:2">
      <c r="A688" t="str">
        <f>'[1]PANEL DE CONTROL'!R1195</f>
        <v>W31 HIPER LIDER - PAYLODER BALLS (PAYLOADER GENERICO SIN GRAFICA)</v>
      </c>
      <c r="B688" s="18" t="s">
        <v>1140</v>
      </c>
    </row>
    <row r="689" spans="1:2">
      <c r="A689" t="str">
        <f>'[1]PANEL DE CONTROL'!R1196</f>
        <v>W34 ACUENTA - PAYLODER MANJAR (PAYLOADER GENERICO SIN GRAFICA)</v>
      </c>
      <c r="B689" s="18" t="s">
        <v>1102</v>
      </c>
    </row>
    <row r="690" spans="1:2">
      <c r="A690" t="str">
        <f>'[1]PANEL DE CONTROL'!R1197</f>
        <v>W34 UNIMARC - GANCHERA (GANCHERA CALDO)</v>
      </c>
      <c r="B690" s="18" t="s">
        <v>1135</v>
      </c>
    </row>
    <row r="691" spans="1:2">
      <c r="A691" t="str">
        <f>'[1]PANEL DE CONTROL'!R1198</f>
        <v>W34 HIPER LIDER - GRÁFICAS MILO (GRAFICA PAYLOADER)</v>
      </c>
      <c r="B691" s="18" t="s">
        <v>1036</v>
      </c>
    </row>
    <row r="692" spans="1:2">
      <c r="A692" t="str">
        <f>'[1]PANEL DE CONTROL'!R1199</f>
        <v>W35 JUMBO - PLAN PIÑA (LOMO NAVE XL)</v>
      </c>
      <c r="B692" s="18" t="s">
        <v>1078</v>
      </c>
    </row>
    <row r="693" spans="1:2">
      <c r="A693" t="str">
        <f>'[1]PANEL DE CONTROL'!R1200</f>
        <v>W35 JUMBO - PLAN PIÑA (MARCO REFIGERADOR)</v>
      </c>
      <c r="B693" s="18" t="s">
        <v>1078</v>
      </c>
    </row>
    <row r="694" spans="1:2">
      <c r="A694" t="str">
        <f>'[1]PANEL DE CONTROL'!R1201</f>
        <v>W35 SISA - PLAN PIÑA (LOMO NAVE XL)</v>
      </c>
      <c r="B694" s="18" t="s">
        <v>1078</v>
      </c>
    </row>
    <row r="695" spans="1:2">
      <c r="A695" t="str">
        <f>'[1]PANEL DE CONTROL'!R1202</f>
        <v>W35 SISA - PLAN PIÑA (MARCO REFIGERADOR)</v>
      </c>
      <c r="B695" s="18" t="s">
        <v>1078</v>
      </c>
    </row>
    <row r="696" spans="1:2">
      <c r="A696" t="str">
        <f>'[1]PANEL DE CONTROL'!R1203</f>
        <v>W35 UNIMARC - PLAN PIÑA (MARCO PRECIO)</v>
      </c>
      <c r="B696" s="18" t="s">
        <v>1078</v>
      </c>
    </row>
    <row r="697" spans="1:2">
      <c r="A697" t="str">
        <f>'[1]PANEL DE CONTROL'!R1204</f>
        <v>W35 UNIMARC - PLAN PIÑA (CHUPON COOLER)</v>
      </c>
      <c r="B697" s="18" t="s">
        <v>1078</v>
      </c>
    </row>
    <row r="698" spans="1:2">
      <c r="A698" t="str">
        <f>'[1]PANEL DE CONTROL'!R1205</f>
        <v>W35 UNIMARC - PLAN PIÑA (LOMO NAVE)</v>
      </c>
      <c r="B698" s="18" t="s">
        <v>1078</v>
      </c>
    </row>
    <row r="699" spans="1:2">
      <c r="A699" t="str">
        <f>'[1]PANEL DE CONTROL'!R1206</f>
        <v>W35 SSRR - PLAN PIÑA (MARCO PRECIO STOPPER COOLER VIBRIN)</v>
      </c>
      <c r="B699" s="18" t="s">
        <v>1078</v>
      </c>
    </row>
    <row r="700" spans="1:2">
      <c r="A700" t="str">
        <f>'[1]PANEL DE CONTROL'!R1207</f>
        <v>W35 SSRR - PLAN PIÑA (LOMO NAVE CABECERA XL)</v>
      </c>
      <c r="B700" s="18" t="s">
        <v>1078</v>
      </c>
    </row>
    <row r="701" spans="1:2">
      <c r="A701" t="str">
        <f>'[1]PANEL DE CONTROL'!R1208</f>
        <v>W35 SSRR - PLAN PIÑA (MARCO PRECIO STOPPER COOLER VIBRIN)</v>
      </c>
      <c r="B701" s="18" t="s">
        <v>1078</v>
      </c>
    </row>
    <row r="702" spans="1:2">
      <c r="A702" t="str">
        <f>'[1]PANEL DE CONTROL'!R1209</f>
        <v>W35 SSRR - PLAN PIÑA (MARCO PRECIO STOPPER COOLER VIBRIN)</v>
      </c>
      <c r="B702" s="18" t="s">
        <v>1078</v>
      </c>
    </row>
    <row r="703" spans="1:2">
      <c r="A703" t="str">
        <f>'[1]PANEL DE CONTROL'!R1210</f>
        <v>W35 SSRR - PLAN PIÑA (CENEFA MUEBLE FRIO)</v>
      </c>
      <c r="B703" s="18" t="s">
        <v>1078</v>
      </c>
    </row>
    <row r="704" spans="1:2">
      <c r="A704" t="str">
        <f>'[1]PANEL DE CONTROL'!R1211</f>
        <v>W35 TOTTUS - PLAN PIÑA (STICKER MUEBLE FRIO)</v>
      </c>
      <c r="B704" s="18" t="s">
        <v>1078</v>
      </c>
    </row>
    <row r="705" spans="1:2">
      <c r="A705" t="str">
        <f>'[1]PANEL DE CONTROL'!R1212</f>
        <v>W35 TOTTUS - PLAN PIÑA (CENEFA MUEBLE FRIO)</v>
      </c>
      <c r="B705" s="18" t="s">
        <v>1078</v>
      </c>
    </row>
    <row r="706" spans="1:2">
      <c r="A706" t="str">
        <f>'[1]PANEL DE CONTROL'!R1213</f>
        <v>CAMPAÑA RETIRO - SAHNE NUSS HIPER LIDER DETALLE (ISLA) AGOSTO 2025</v>
      </c>
      <c r="B706" s="18"/>
    </row>
    <row r="707" spans="1:2">
      <c r="A707" t="str">
        <f>'[1]PANEL DE CONTROL'!R1214</f>
        <v>CAMPAÑA RETIRO - MCKAY HIPER LIDER DETALLE (ISLA) AGOSTO 2025</v>
      </c>
    </row>
    <row r="708" spans="1:2">
      <c r="A708" t="str">
        <f>'[1]PANEL DE CONTROL'!R1215</f>
        <v>CAMPAÑA RETIRO - TRENCITO TOTTUS (ISLA) SEPTIEMBRE 2025</v>
      </c>
    </row>
    <row r="709" spans="1:2">
      <c r="A709" t="str">
        <f>'[1]PANEL DE CONTROL'!R1216</f>
        <v>W37 TOTTUS - CAMPAÑA PAYLOADER CULINARIOS (PAYLOADER)</v>
      </c>
      <c r="B709" t="s">
        <v>1135</v>
      </c>
    </row>
    <row r="710" spans="1:2">
      <c r="A710" t="str">
        <f>'[1]PANEL DE CONTROL'!R1217</f>
        <v>W36 SSRR - CAMPAÑA ISLAS MANJAR (ISLA)</v>
      </c>
      <c r="B710" t="s">
        <v>1102</v>
      </c>
    </row>
    <row r="711" spans="1:2">
      <c r="A711" t="str">
        <f>'[1]PANEL DE CONTROL'!R1218</f>
        <v>W36 SSRR - CAMPAÑA ISLAS MANJAR (GRAFICA ISLA)</v>
      </c>
      <c r="B711" t="s">
        <v>1102</v>
      </c>
    </row>
    <row r="712" spans="1:2">
      <c r="A712" t="str">
        <f>'[1]PANEL DE CONTROL'!R1219</f>
        <v>W40 JUMBO - CAMPAÑAS GOODNES (VIBRIN COLGANTE)</v>
      </c>
      <c r="B712" t="s">
        <v>1141</v>
      </c>
    </row>
    <row r="713" spans="1:2">
      <c r="A713" t="str">
        <f>'[1]PANEL DE CONTROL'!R1220</f>
        <v>W40 SISA - CAMPAÑAS GOODNES (VIBRIN COLGANTE)</v>
      </c>
      <c r="B713" t="s">
        <v>1141</v>
      </c>
    </row>
    <row r="714" spans="1:2">
      <c r="A714" t="str">
        <f>'[1]PANEL DE CONTROL'!R1221</f>
        <v>W40 SSRR - PROMOCION SAHNE NUSS 4,5KG  (FICTICIO)</v>
      </c>
      <c r="B714" t="s">
        <v>1142</v>
      </c>
    </row>
    <row r="715" spans="1:2">
      <c r="A715" t="str">
        <f>'[1]PANEL DE CONTROL'!R1222</f>
        <v>W40 SSRR - PROMOCION SAHNE NUSS 4,5KG  (CUPONES)</v>
      </c>
      <c r="B715" t="s">
        <v>1142</v>
      </c>
    </row>
    <row r="716" spans="1:2">
      <c r="A716" t="str">
        <f>'[1]PANEL DE CONTROL'!R1223</f>
        <v>W40 SSRR - PROMOCION SAHNE NUSS 4,5KG  (AFICHE PVC)</v>
      </c>
      <c r="B716" t="s">
        <v>1142</v>
      </c>
    </row>
    <row r="717" spans="1:2">
      <c r="A717" t="str">
        <f>'[1]PANEL DE CONTROL'!R1224</f>
        <v>W40 ALVI - PEDESTALES HALLOWEEN (PEDESTAL)</v>
      </c>
      <c r="B717" t="s">
        <v>1143</v>
      </c>
    </row>
    <row r="718" spans="1:2">
      <c r="A718" t="str">
        <f>'[1]PANEL DE CONTROL'!R1225</f>
        <v>W40 UNIMARC - PEDESTALES HALLOWEEN (PEDESTAL)</v>
      </c>
      <c r="B718" t="s">
        <v>1143</v>
      </c>
    </row>
    <row r="719" spans="1:2">
      <c r="A719" t="str">
        <f>'[1]PANEL DE CONTROL'!R1226</f>
        <v>W41 JUMBO - BOTADERO HALLOWEEN (BOTADERO)</v>
      </c>
      <c r="B719" t="s">
        <v>1143</v>
      </c>
    </row>
    <row r="720" spans="1:2">
      <c r="A720" t="str">
        <f>'[1]PANEL DE CONTROL'!R1227</f>
        <v>W41 SISA - BOTADERO HALLOWEEN (BOTADERO)</v>
      </c>
      <c r="B720" t="s">
        <v>1143</v>
      </c>
    </row>
    <row r="721" spans="1:2">
      <c r="A721" t="str">
        <f>'[1]PANEL DE CONTROL'!R1228</f>
        <v>W41 ACUENTA -  NATURNES NESTUM (PAYLOADER CON GRAFICA)</v>
      </c>
      <c r="B721" t="s">
        <v>1144</v>
      </c>
    </row>
    <row r="722" spans="1:2">
      <c r="A722" t="str">
        <f>'[1]PANEL DE CONTROL'!R1229</f>
        <v>W41 HIPER LIDER -  NATURNES NESTUM (PAYLOADER SIN GRAFICA QR)</v>
      </c>
      <c r="B722" t="s">
        <v>1144</v>
      </c>
    </row>
    <row r="723" spans="1:2">
      <c r="A723" t="str">
        <f>'[1]PANEL DE CONTROL'!R1230</f>
        <v>W41 LIDER EXPRESS -  NATURNES NESTUM (PAYLOADER SIN GRAFICA QR)</v>
      </c>
      <c r="B723" t="s">
        <v>1144</v>
      </c>
    </row>
    <row r="724" spans="1:2">
      <c r="A724" t="str">
        <f>'[1]PANEL DE CONTROL'!R1231</f>
        <v>W41 HIPER LIDER - PAYLOADER TUCCO (PAYLOADER)</v>
      </c>
      <c r="B724" t="s">
        <v>1127</v>
      </c>
    </row>
    <row r="725" spans="1:2">
      <c r="A725" t="str">
        <f>'[1]PANEL DE CONTROL'!R1232</f>
        <v>CAMPAÑA RETIRO - SAHNE NUSS JUMBO (ISLA)</v>
      </c>
    </row>
    <row r="726" spans="1:2">
      <c r="A726" t="str">
        <f>'[1]PANEL DE CONTROL'!R1233</f>
        <v>W47 HIPER LIDER - HOTSPOT ALTEZA (HOTSPOT)</v>
      </c>
      <c r="B726" t="s">
        <v>1145</v>
      </c>
    </row>
    <row r="727" spans="1:2">
      <c r="A727" t="str">
        <f>'[1]PANEL DE CONTROL'!R1234</f>
        <v>W41 HIPER LIDER - PAYLOADER SAHNE NUSS  KIT KAT(PAYLOADER DUO)</v>
      </c>
      <c r="B727" t="s">
        <v>1146</v>
      </c>
    </row>
    <row r="728" spans="1:2">
      <c r="A728" t="str">
        <f>'[1]PANEL DE CONTROL'!R1235</f>
        <v>W41 HIPER LIDER - ISLA SAHNE NUSS (ISLA)</v>
      </c>
      <c r="B728" t="s">
        <v>1039</v>
      </c>
    </row>
    <row r="729" spans="1:2">
      <c r="A729" t="str">
        <f>'[1]PANEL DE CONTROL'!R1236</f>
        <v>W43 HIPER LIDER - PAYLOADER SAHNE NUSS (PAYLOADER SN AB)</v>
      </c>
      <c r="B729" t="s">
        <v>1039</v>
      </c>
    </row>
    <row r="730" spans="1:2">
      <c r="A730" t="str">
        <f>'[1]PANEL DE CONTROL'!R1237</f>
        <v>W43 LIDER EXPRESS - PAYLOADER SAHNE NUSS (PAYLOADER SN AB)</v>
      </c>
      <c r="B730" t="s">
        <v>1039</v>
      </c>
    </row>
    <row r="731" spans="1:2">
      <c r="A731" t="str">
        <f>'[1]PANEL DE CONTROL'!R1238</f>
        <v>W44 JUMBO - GANCHERAS MAGGI (GANCHERA)</v>
      </c>
      <c r="B731" t="s">
        <v>1135</v>
      </c>
    </row>
    <row r="732" spans="1:2">
      <c r="A732" t="str">
        <f>'[1]PANEL DE CONTROL'!R1239</f>
        <v>W44 JUMBO - CAMPAÑA COORPORATIVA NESTLE (VIBRIN STOPPER )</v>
      </c>
      <c r="B732" s="18" t="s">
        <v>1147</v>
      </c>
    </row>
    <row r="733" spans="1:2">
      <c r="A733" t="str">
        <f>'[1]PANEL DE CONTROL'!R1240</f>
        <v>W44 JUMBO - CAMPAÑA COORPORATIVA NESTLE (VIBRIN STOPPER )</v>
      </c>
      <c r="B733" s="18" t="s">
        <v>1147</v>
      </c>
    </row>
    <row r="734" spans="1:2">
      <c r="A734" t="str">
        <f>'[1]PANEL DE CONTROL'!R1241</f>
        <v>W44 JUMBO - CAMPAÑA COORPORATIVA NESTLE (LATERAL COLGANTE)</v>
      </c>
      <c r="B734" s="18" t="s">
        <v>1147</v>
      </c>
    </row>
    <row r="735" spans="1:2">
      <c r="A735" t="str">
        <f>'[1]PANEL DE CONTROL'!R1242</f>
        <v>W44 JUMBO - CAMPAÑA COORPORATIVA NESTLE (LATERAL CABECERA)</v>
      </c>
      <c r="B735" s="18" t="s">
        <v>1147</v>
      </c>
    </row>
    <row r="736" spans="1:2">
      <c r="A736" t="str">
        <f>'[1]PANEL DE CONTROL'!R1243</f>
        <v>W44 JUMBO - CAMPAÑA COORPORATIVA NESTLE ( ISLA CHOCOLATE)</v>
      </c>
      <c r="B736" s="18" t="s">
        <v>1147</v>
      </c>
    </row>
    <row r="737" spans="1:2">
      <c r="A737" t="str">
        <f>'[1]PANEL DE CONTROL'!R1244</f>
        <v>W44 JUMBO - CAMPAÑA COORPORATIVA NESTLE ( ISLA GALLETA)</v>
      </c>
      <c r="B737" s="18" t="s">
        <v>1147</v>
      </c>
    </row>
    <row r="738" spans="1:2">
      <c r="A738" t="str">
        <f>'[1]PANEL DE CONTROL'!R1245</f>
        <v>W44 JUMBO - CAMPAÑA COORPORATIVA NESTLE ( ESQUINERO)</v>
      </c>
      <c r="B738" s="18" t="s">
        <v>1147</v>
      </c>
    </row>
    <row r="739" spans="1:2">
      <c r="A739" t="str">
        <f>'[1]PANEL DE CONTROL'!R1246</f>
        <v>W45 TOTTUS - PAYLOADERS NESCAFÉ (PAYLOADER)</v>
      </c>
      <c r="B739" s="18" t="s">
        <v>1027</v>
      </c>
    </row>
    <row r="740" spans="1:2">
      <c r="A740" t="str">
        <f>'[1]PANEL DE CONTROL'!R1247</f>
        <v>W45 UNIMARC - GALLETAS NAVIDAD MCKAY (PAYLOADER)</v>
      </c>
      <c r="B740" s="18" t="s">
        <v>1148</v>
      </c>
    </row>
    <row r="741" spans="1:2">
      <c r="A741" t="str">
        <f>'[1]PANEL DE CONTROL'!R1248</f>
        <v>W45 ALVI - GALLETAS NAVIDAD MCKAY (PAYLOADER)</v>
      </c>
      <c r="B741" s="18" t="s">
        <v>1148</v>
      </c>
    </row>
    <row r="742" spans="1:2">
      <c r="A742" t="str">
        <f>'[1]PANEL DE CONTROL'!R1249</f>
        <v>W45 UNIMARC - GALLETAS TRENCITO (PAYLOADER)</v>
      </c>
      <c r="B742" s="18" t="s">
        <v>301</v>
      </c>
    </row>
    <row r="743" spans="1:2">
      <c r="A743" t="str">
        <f>'[1]PANEL DE CONTROL'!R1250</f>
        <v>W45 UNIMARC - GALLETAS TRENCITO (PAYLOADER ANTIBRECHA)</v>
      </c>
      <c r="B743" s="18" t="s">
        <v>301</v>
      </c>
    </row>
    <row r="744" spans="1:2">
      <c r="A744" t="str">
        <f>'[1]PANEL DE CONTROL'!R1251</f>
        <v>W47 UNIMARC - GALLETAS TRITON (PAYLOADER)</v>
      </c>
      <c r="B744" s="18" t="s">
        <v>1092</v>
      </c>
    </row>
    <row r="745" spans="1:2">
      <c r="A745" t="str">
        <f>'[1]PANEL DE CONTROL'!R1252</f>
        <v>W46 HIPER LIDER - PINTAS SAVORY (LATERAL CABECERA)</v>
      </c>
      <c r="B745" s="18" t="s">
        <v>1149</v>
      </c>
    </row>
    <row r="746" spans="1:2">
      <c r="A746" t="str">
        <f>'[1]PANEL DE CONTROL'!R1253</f>
        <v>W46 SPID - GOODNES (VIBRIN COLGANTE)</v>
      </c>
      <c r="B746" s="18" t="s">
        <v>1141</v>
      </c>
    </row>
    <row r="747" spans="1:2">
      <c r="A747" t="str">
        <f>'[1]PANEL DE CONTROL'!R1254</f>
        <v>W47 HIPER LIDER - PAYLOADERS MINICABECERAS SVELTY (PAYLOADER)</v>
      </c>
      <c r="B747" s="18" t="s">
        <v>1015</v>
      </c>
    </row>
    <row r="748" spans="1:2">
      <c r="A748" t="str">
        <f>'[1]PANEL DE CONTROL'!R1255</f>
        <v>W47 HIPER LIDER - PAYLOADERS MINICABECERAS SVELTY (QR)</v>
      </c>
      <c r="B748" s="18" t="s">
        <v>1015</v>
      </c>
    </row>
    <row r="749" spans="1:2">
      <c r="A749" t="str">
        <f>'[1]PANEL DE CONTROL'!R1256</f>
        <v>W47 HIPER LIDER - CAPSULAS DOLCE GUSTO STARBUCKS (PAYLOADER)</v>
      </c>
      <c r="B749" s="18" t="s">
        <v>1150</v>
      </c>
    </row>
    <row r="750" spans="1:2">
      <c r="A750" t="str">
        <f>'[1]PANEL DE CONTROL'!R1257</f>
        <v>W47 HIPER LIDER - CAPSULAS DOLCE GUSTO STARBUCKS (QR)</v>
      </c>
      <c r="B750" s="18" t="s">
        <v>1150</v>
      </c>
    </row>
    <row r="751" spans="1:2">
      <c r="A751" t="str">
        <f>'[1]PANEL DE CONTROL'!R1258</f>
        <v>W45 SUPER 10 - GALLETAS NAVIDAD MCKAY (PAYLOADER)</v>
      </c>
      <c r="B751" s="18" t="s">
        <v>1148</v>
      </c>
    </row>
    <row r="752" spans="1:2">
      <c r="A752" t="str">
        <f>'[1]PANEL DE CONTROL'!R1259</f>
        <v>W45 MAYORISTA 10 - GALLETAS NAVIDAD MCKAY (PAYLOADER)</v>
      </c>
      <c r="B752" s="18" t="s">
        <v>1148</v>
      </c>
    </row>
    <row r="753" spans="1:2">
      <c r="A753" t="str">
        <f>'[1]PANEL DE CONTROL'!R1260</f>
        <v>W47 UNIMARC - CALDOS MAGGI (PAYLOADER ANTIBRECHA)</v>
      </c>
      <c r="B753" s="18" t="s">
        <v>1135</v>
      </c>
    </row>
    <row r="754" spans="1:2">
      <c r="A754" t="str">
        <f>'[1]PANEL DE CONTROL'!R1261</f>
        <v>W47 HIPER LIDER - DULCE MOMENTOS SN (PAYLOADER)</v>
      </c>
      <c r="B754" s="18" t="s">
        <v>1151</v>
      </c>
    </row>
    <row r="755" spans="1:2">
      <c r="A755" t="str">
        <f>'[1]PANEL DE CONTROL'!R1262</f>
        <v>W47 HIPER LIDER - DULCE MOMENTOS SN (QR)</v>
      </c>
      <c r="B755" s="18" t="s">
        <v>1151</v>
      </c>
    </row>
    <row r="756" spans="1:2">
      <c r="A756" t="str">
        <f>'[1]PANEL DE CONTROL'!R1263</f>
        <v>W47 HIPER LIDER - MILO SIN LACTOSA (PAYLOADER)</v>
      </c>
      <c r="B756" s="18" t="s">
        <v>1036</v>
      </c>
    </row>
    <row r="757" spans="1:2">
      <c r="A757" t="str">
        <f>'[1]PANEL DE CONTROL'!R1264</f>
        <v>W47 HIPER LIDER - MILO SIN LACTOSA (QR)</v>
      </c>
      <c r="B757" s="18" t="s">
        <v>1036</v>
      </c>
    </row>
    <row r="758" spans="1:2">
      <c r="A758" t="str">
        <f>'[1]PANEL DE CONTROL'!R1265</f>
        <v>W48 JUMBO - TU VERANO SAVORY (MARCO REFRIGERADOR)</v>
      </c>
      <c r="B758" s="18" t="s">
        <v>1152</v>
      </c>
    </row>
    <row r="759" spans="1:2">
      <c r="A759" t="str">
        <f>'[1]PANEL DE CONTROL'!R1266</f>
        <v>W48 JUMBO - TU VERANO SAVORY (VIBRIN CHUPÓN)</v>
      </c>
      <c r="B759" s="18" t="s">
        <v>1152</v>
      </c>
    </row>
    <row r="760" spans="1:2">
      <c r="A760" t="str">
        <f>'[1]PANEL DE CONTROL'!R1267</f>
        <v>W48 JUMBO - TU VERANO SAVORY (LOMO NAVE)</v>
      </c>
      <c r="B760" s="18" t="s">
        <v>1152</v>
      </c>
    </row>
    <row r="761" spans="1:2">
      <c r="A761" t="str">
        <f>'[1]PANEL DE CONTROL'!R1268</f>
        <v>W48 SISA - TU VERANO SAVORY (MARCO REFRIGERADOR)</v>
      </c>
      <c r="B761" s="18" t="s">
        <v>1152</v>
      </c>
    </row>
    <row r="762" spans="1:2">
      <c r="A762" t="str">
        <f>'[1]PANEL DE CONTROL'!R1269</f>
        <v>W48 SISA - TU VERANO SAVORY (VIBRIN CHUPÓN)</v>
      </c>
      <c r="B762" s="18" t="s">
        <v>1152</v>
      </c>
    </row>
    <row r="763" spans="1:2">
      <c r="A763" t="str">
        <f>'[1]PANEL DE CONTROL'!R1270</f>
        <v>W48 SISA - TU VERANO SAVORY (LOMO NAVE)</v>
      </c>
      <c r="B763" s="18" t="s">
        <v>1152</v>
      </c>
    </row>
    <row r="764" spans="1:2">
      <c r="A764" t="str">
        <f>'[1]PANEL DE CONTROL'!R1271</f>
        <v>W48 TOTTUS - PIZARRAS SAVORY (PIZARRA)</v>
      </c>
      <c r="B764" s="18" t="s">
        <v>1152</v>
      </c>
    </row>
    <row r="765" spans="1:2">
      <c r="A765" t="str">
        <f>'[1]PANEL DE CONTROL'!R1272</f>
        <v>W49 HIPER LIDER - STICKERS NIDO (STICKER)</v>
      </c>
      <c r="B765" s="18" t="s">
        <v>1153</v>
      </c>
    </row>
    <row r="766" spans="1:2">
      <c r="A766" t="str">
        <f>'[1]PANEL DE CONTROL'!R1273</f>
        <v>W49 ACUENTA - STICKERS NIDO (STICKER)</v>
      </c>
      <c r="B766" s="18" t="s">
        <v>1153</v>
      </c>
    </row>
    <row r="767" spans="1:2">
      <c r="A767" t="str">
        <f>'[1]PANEL DE CONTROL'!R1274</f>
        <v>W48 TOTTUS - PAYLOADER ANTIBRECHA MAGGI (PAYLOADER AB)</v>
      </c>
      <c r="B767" s="18" t="s">
        <v>1135</v>
      </c>
    </row>
    <row r="768" spans="1:2">
      <c r="A768" t="str">
        <f>'[1]PANEL DE CONTROL'!R1275</f>
        <v>W47 HIPER LIDER - SAHNE NUSS NAVIDAD (PAYLOADER SN)</v>
      </c>
      <c r="B768" s="18" t="s">
        <v>1154</v>
      </c>
    </row>
    <row r="769" spans="1:2">
      <c r="A769" t="str">
        <f>'[1]PANEL DE CONTROL'!R1276</f>
        <v>W47 HIPER LIDER - SAHNE NUSS NAVIDAD (MUEBLE ARBOL)</v>
      </c>
      <c r="B769" s="18" t="s">
        <v>1154</v>
      </c>
    </row>
    <row r="770" spans="1:2">
      <c r="A770" t="str">
        <f>'[1]PANEL DE CONTROL'!R1277</f>
        <v>W47 LIDER EXPRESS - SAHNE NUSS NAVIDAD (PAYLOADER SN)</v>
      </c>
      <c r="B770" s="18" t="s">
        <v>1154</v>
      </c>
    </row>
    <row r="771" spans="1:2">
      <c r="A771" t="str">
        <f>'[1]PANEL DE CONTROL'!R1278</f>
        <v>W50 HIPER LIDER - MILO (PAYLOADER)</v>
      </c>
      <c r="B771" s="18" t="s">
        <v>1036</v>
      </c>
    </row>
    <row r="772" spans="1:2">
      <c r="A772" t="str">
        <f>'[1]PANEL DE CONTROL'!R1279</f>
        <v>W2 MAYORISTA 10 -  PAYLOADER TUCO (PAYLOADER AB)</v>
      </c>
      <c r="B772" s="18" t="s">
        <v>1155</v>
      </c>
    </row>
    <row r="773" spans="1:2">
      <c r="A773" t="s">
        <v>252</v>
      </c>
      <c r="B773" s="18" t="s">
        <v>1033</v>
      </c>
    </row>
    <row r="774" spans="1:2">
      <c r="A774" t="s">
        <v>994</v>
      </c>
      <c r="B774" s="18" t="s">
        <v>1155</v>
      </c>
    </row>
    <row r="775" spans="1:2">
      <c r="A775" t="s">
        <v>995</v>
      </c>
      <c r="B775" s="18" t="s">
        <v>1155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8640-04A9-401E-9C12-8790E7BCEA0E}">
  <dimension ref="G1:J179"/>
  <sheetViews>
    <sheetView workbookViewId="0">
      <selection activeCell="H43" sqref="H43"/>
    </sheetView>
  </sheetViews>
  <sheetFormatPr baseColWidth="10" defaultRowHeight="15"/>
  <cols>
    <col min="8" max="8" width="76.42578125" bestFit="1" customWidth="1"/>
    <col min="9" max="9" width="49.5703125" bestFit="1" customWidth="1"/>
  </cols>
  <sheetData>
    <row r="1" spans="7:8">
      <c r="G1" t="s">
        <v>1584</v>
      </c>
      <c r="H1" t="s">
        <v>1585</v>
      </c>
    </row>
    <row r="2" spans="7:8">
      <c r="G2" s="27">
        <v>1655</v>
      </c>
      <c r="H2" s="27" t="s">
        <v>1566</v>
      </c>
    </row>
    <row r="3" spans="7:8">
      <c r="G3" s="27">
        <v>2270</v>
      </c>
      <c r="H3" s="27" t="s">
        <v>993</v>
      </c>
    </row>
    <row r="4" spans="7:8">
      <c r="G4" s="27">
        <v>2297</v>
      </c>
      <c r="H4" s="27" t="s">
        <v>1348</v>
      </c>
    </row>
    <row r="5" spans="7:8">
      <c r="G5" s="27">
        <v>2300</v>
      </c>
      <c r="H5" s="27" t="s">
        <v>1567</v>
      </c>
    </row>
    <row r="6" spans="7:8">
      <c r="G6" s="27">
        <v>2304</v>
      </c>
      <c r="H6" s="27" t="s">
        <v>1162</v>
      </c>
    </row>
    <row r="7" spans="7:8">
      <c r="G7" s="27">
        <v>2307</v>
      </c>
      <c r="H7" s="27" t="s">
        <v>1352</v>
      </c>
    </row>
    <row r="8" spans="7:8">
      <c r="G8" s="27">
        <v>2309</v>
      </c>
      <c r="H8" s="27" t="s">
        <v>1349</v>
      </c>
    </row>
    <row r="9" spans="7:8">
      <c r="G9" s="27">
        <v>2321</v>
      </c>
      <c r="H9" s="27" t="s">
        <v>1350</v>
      </c>
    </row>
    <row r="10" spans="7:8">
      <c r="G10" s="27">
        <v>2322</v>
      </c>
      <c r="H10" s="27" t="s">
        <v>1163</v>
      </c>
    </row>
    <row r="11" spans="7:8">
      <c r="G11" s="27">
        <v>2323</v>
      </c>
      <c r="H11" s="27" t="s">
        <v>1164</v>
      </c>
    </row>
    <row r="12" spans="7:8">
      <c r="G12" s="27">
        <v>2324</v>
      </c>
      <c r="H12" s="27" t="s">
        <v>1160</v>
      </c>
    </row>
    <row r="13" spans="7:8">
      <c r="G13" s="27">
        <v>2325</v>
      </c>
      <c r="H13" s="27" t="s">
        <v>1161</v>
      </c>
    </row>
    <row r="14" spans="7:8">
      <c r="G14" s="27">
        <v>2326</v>
      </c>
      <c r="H14" s="27" t="s">
        <v>1356</v>
      </c>
    </row>
    <row r="15" spans="7:8">
      <c r="G15" s="27">
        <v>2328</v>
      </c>
      <c r="H15" s="27" t="s">
        <v>1360</v>
      </c>
    </row>
    <row r="16" spans="7:8">
      <c r="G16" s="27">
        <v>2329</v>
      </c>
      <c r="H16" s="27" t="s">
        <v>1361</v>
      </c>
    </row>
    <row r="17" spans="7:8">
      <c r="G17" s="27">
        <v>2330</v>
      </c>
      <c r="H17" s="27" t="s">
        <v>1362</v>
      </c>
    </row>
    <row r="18" spans="7:8">
      <c r="G18" s="27">
        <v>2331</v>
      </c>
      <c r="H18" s="27" t="s">
        <v>1363</v>
      </c>
    </row>
    <row r="19" spans="7:8">
      <c r="G19" s="27">
        <v>2332</v>
      </c>
      <c r="H19" s="27" t="s">
        <v>1364</v>
      </c>
    </row>
    <row r="20" spans="7:8">
      <c r="G20" s="27">
        <v>2333</v>
      </c>
      <c r="H20" s="27" t="s">
        <v>1365</v>
      </c>
    </row>
    <row r="21" spans="7:8">
      <c r="G21" s="27">
        <v>2349</v>
      </c>
      <c r="H21" s="27" t="s">
        <v>1368</v>
      </c>
    </row>
    <row r="22" spans="7:8">
      <c r="G22" s="27">
        <v>2353</v>
      </c>
      <c r="H22" s="27" t="s">
        <v>1370</v>
      </c>
    </row>
    <row r="23" spans="7:8">
      <c r="G23" s="27">
        <v>2354</v>
      </c>
      <c r="H23" s="27" t="s">
        <v>1371</v>
      </c>
    </row>
    <row r="24" spans="7:8">
      <c r="G24" s="27">
        <v>2355</v>
      </c>
      <c r="H24" s="27" t="s">
        <v>1373</v>
      </c>
    </row>
    <row r="25" spans="7:8">
      <c r="G25" s="27">
        <v>2357</v>
      </c>
      <c r="H25" s="27" t="s">
        <v>1372</v>
      </c>
    </row>
    <row r="26" spans="7:8">
      <c r="G26" s="27">
        <v>2372</v>
      </c>
      <c r="H26" s="27" t="s">
        <v>1374</v>
      </c>
    </row>
    <row r="27" spans="7:8">
      <c r="G27" s="27">
        <v>2374</v>
      </c>
      <c r="H27" s="27" t="s">
        <v>1373</v>
      </c>
    </row>
    <row r="28" spans="7:8">
      <c r="G28" s="27">
        <v>2379</v>
      </c>
      <c r="H28" s="27" t="s">
        <v>1381</v>
      </c>
    </row>
    <row r="29" spans="7:8">
      <c r="G29" s="27">
        <v>2380</v>
      </c>
      <c r="H29" s="27" t="s">
        <v>1379</v>
      </c>
    </row>
    <row r="30" spans="7:8">
      <c r="G30" s="27">
        <v>2381</v>
      </c>
      <c r="H30" s="27" t="s">
        <v>1378</v>
      </c>
    </row>
    <row r="31" spans="7:8">
      <c r="G31" s="27">
        <v>2382</v>
      </c>
      <c r="H31" s="27" t="s">
        <v>1380</v>
      </c>
    </row>
    <row r="32" spans="7:8">
      <c r="G32" s="27">
        <v>2383</v>
      </c>
      <c r="H32" s="27" t="s">
        <v>1377</v>
      </c>
    </row>
    <row r="33" spans="7:10">
      <c r="G33" s="27">
        <v>2384</v>
      </c>
      <c r="H33" s="27" t="s">
        <v>1382</v>
      </c>
    </row>
    <row r="34" spans="7:10">
      <c r="G34" s="27">
        <v>2385</v>
      </c>
      <c r="H34" s="27" t="s">
        <v>1383</v>
      </c>
    </row>
    <row r="35" spans="7:10">
      <c r="G35" s="27">
        <v>2390</v>
      </c>
      <c r="H35" s="27" t="s">
        <v>1385</v>
      </c>
    </row>
    <row r="36" spans="7:10">
      <c r="G36" s="27">
        <v>2391</v>
      </c>
      <c r="H36" s="27" t="s">
        <v>1388</v>
      </c>
    </row>
    <row r="37" spans="7:10">
      <c r="G37" s="27">
        <v>2392</v>
      </c>
      <c r="H37" s="27" t="s">
        <v>1389</v>
      </c>
    </row>
    <row r="38" spans="7:10">
      <c r="G38" s="27">
        <v>2395</v>
      </c>
      <c r="H38" s="27" t="s">
        <v>1390</v>
      </c>
    </row>
    <row r="39" spans="7:10">
      <c r="G39" s="27">
        <v>2396</v>
      </c>
      <c r="H39" s="27" t="s">
        <v>1391</v>
      </c>
    </row>
    <row r="40" spans="7:10">
      <c r="G40" s="27">
        <v>2397</v>
      </c>
      <c r="H40" s="27" t="s">
        <v>1392</v>
      </c>
    </row>
    <row r="41" spans="7:10">
      <c r="G41" s="27">
        <v>2398</v>
      </c>
      <c r="H41" s="27" t="s">
        <v>1393</v>
      </c>
    </row>
    <row r="42" spans="7:10" ht="17.25">
      <c r="G42" s="27">
        <v>2399</v>
      </c>
      <c r="H42" s="27" t="s">
        <v>1590</v>
      </c>
      <c r="I42" s="30" t="s">
        <v>1590</v>
      </c>
      <c r="J42" t="b">
        <f>I42=H42</f>
        <v>1</v>
      </c>
    </row>
    <row r="43" spans="7:10">
      <c r="G43" s="27">
        <v>2400</v>
      </c>
      <c r="H43" s="27" t="s">
        <v>1591</v>
      </c>
    </row>
    <row r="44" spans="7:10">
      <c r="G44" s="27">
        <v>2401</v>
      </c>
      <c r="H44" s="27" t="s">
        <v>1397</v>
      </c>
    </row>
    <row r="45" spans="7:10">
      <c r="G45" s="27">
        <v>2402</v>
      </c>
      <c r="H45" s="27" t="s">
        <v>1398</v>
      </c>
    </row>
    <row r="46" spans="7:10">
      <c r="G46" s="27">
        <v>2403</v>
      </c>
      <c r="H46" s="27" t="s">
        <v>1399</v>
      </c>
    </row>
    <row r="47" spans="7:10">
      <c r="G47" s="27">
        <v>2405</v>
      </c>
      <c r="H47" s="27" t="s">
        <v>1400</v>
      </c>
    </row>
    <row r="48" spans="7:10">
      <c r="G48" s="27">
        <v>2415</v>
      </c>
      <c r="H48" s="27" t="s">
        <v>1402</v>
      </c>
    </row>
    <row r="49" spans="7:8">
      <c r="G49" s="27">
        <v>2416</v>
      </c>
      <c r="H49" s="27" t="s">
        <v>1403</v>
      </c>
    </row>
    <row r="50" spans="7:8">
      <c r="G50" s="27">
        <v>2417</v>
      </c>
      <c r="H50" s="27" t="s">
        <v>1568</v>
      </c>
    </row>
    <row r="51" spans="7:8">
      <c r="G51" s="27">
        <v>2435</v>
      </c>
      <c r="H51" s="27" t="s">
        <v>1404</v>
      </c>
    </row>
    <row r="52" spans="7:8">
      <c r="G52" s="27">
        <v>2436</v>
      </c>
      <c r="H52" s="27" t="s">
        <v>1405</v>
      </c>
    </row>
    <row r="53" spans="7:8">
      <c r="G53" s="27">
        <v>2437</v>
      </c>
      <c r="H53" s="27" t="s">
        <v>1406</v>
      </c>
    </row>
    <row r="54" spans="7:8">
      <c r="G54" s="27">
        <v>2438</v>
      </c>
      <c r="H54" s="27" t="s">
        <v>1404</v>
      </c>
    </row>
    <row r="55" spans="7:8">
      <c r="G55" s="27">
        <v>2444</v>
      </c>
      <c r="H55" s="27" t="s">
        <v>1408</v>
      </c>
    </row>
    <row r="56" spans="7:8">
      <c r="G56" s="27">
        <v>2445</v>
      </c>
      <c r="H56" s="27" t="s">
        <v>1569</v>
      </c>
    </row>
    <row r="57" spans="7:8">
      <c r="G57" s="27">
        <v>2446</v>
      </c>
      <c r="H57" s="27" t="s">
        <v>1410</v>
      </c>
    </row>
    <row r="58" spans="7:8">
      <c r="G58" s="27">
        <v>2447</v>
      </c>
      <c r="H58" s="27" t="s">
        <v>1411</v>
      </c>
    </row>
    <row r="59" spans="7:8">
      <c r="G59" s="27">
        <v>2448</v>
      </c>
      <c r="H59" s="27" t="s">
        <v>1412</v>
      </c>
    </row>
    <row r="60" spans="7:8">
      <c r="G60" s="27">
        <v>2458</v>
      </c>
      <c r="H60" s="27" t="s">
        <v>1415</v>
      </c>
    </row>
    <row r="61" spans="7:8">
      <c r="G61" s="27">
        <v>2462</v>
      </c>
      <c r="H61" s="27" t="s">
        <v>1417</v>
      </c>
    </row>
    <row r="62" spans="7:8">
      <c r="G62" s="27">
        <v>2463</v>
      </c>
      <c r="H62" s="27" t="s">
        <v>1418</v>
      </c>
    </row>
    <row r="63" spans="7:8">
      <c r="G63" s="27">
        <v>2464</v>
      </c>
      <c r="H63" s="27" t="s">
        <v>1570</v>
      </c>
    </row>
    <row r="64" spans="7:8">
      <c r="G64" s="27">
        <v>2465</v>
      </c>
      <c r="H64" s="27" t="s">
        <v>1571</v>
      </c>
    </row>
    <row r="65" spans="7:8">
      <c r="G65" s="27">
        <v>2466</v>
      </c>
      <c r="H65" s="27" t="s">
        <v>1419</v>
      </c>
    </row>
    <row r="66" spans="7:8">
      <c r="G66" s="27">
        <v>2467</v>
      </c>
      <c r="H66" s="27" t="s">
        <v>1420</v>
      </c>
    </row>
    <row r="67" spans="7:8">
      <c r="G67" s="27">
        <v>2468</v>
      </c>
      <c r="H67" s="27" t="s">
        <v>1422</v>
      </c>
    </row>
    <row r="68" spans="7:8">
      <c r="G68" s="27">
        <v>2470</v>
      </c>
      <c r="H68" s="27" t="s">
        <v>1423</v>
      </c>
    </row>
    <row r="69" spans="7:8">
      <c r="G69" s="27">
        <v>2474</v>
      </c>
      <c r="H69" s="27" t="s">
        <v>1425</v>
      </c>
    </row>
    <row r="70" spans="7:8">
      <c r="G70" s="27">
        <v>2478</v>
      </c>
      <c r="H70" s="27" t="s">
        <v>1427</v>
      </c>
    </row>
    <row r="71" spans="7:8">
      <c r="G71" s="27">
        <v>2479</v>
      </c>
      <c r="H71" s="27" t="s">
        <v>1429</v>
      </c>
    </row>
    <row r="72" spans="7:8">
      <c r="G72" s="27">
        <v>2480</v>
      </c>
      <c r="H72" s="27" t="s">
        <v>1430</v>
      </c>
    </row>
    <row r="73" spans="7:8">
      <c r="G73" s="27">
        <v>2481</v>
      </c>
      <c r="H73" s="27" t="s">
        <v>1431</v>
      </c>
    </row>
    <row r="74" spans="7:8">
      <c r="G74" s="27">
        <v>2482</v>
      </c>
      <c r="H74" s="27" t="s">
        <v>1432</v>
      </c>
    </row>
    <row r="75" spans="7:8">
      <c r="G75" s="27">
        <v>2483</v>
      </c>
      <c r="H75" s="27" t="s">
        <v>1433</v>
      </c>
    </row>
    <row r="76" spans="7:8">
      <c r="G76" s="27">
        <v>2484</v>
      </c>
      <c r="H76" s="27" t="s">
        <v>1434</v>
      </c>
    </row>
    <row r="77" spans="7:8">
      <c r="G77" s="27">
        <v>2485</v>
      </c>
      <c r="H77" s="27" t="s">
        <v>1435</v>
      </c>
    </row>
    <row r="78" spans="7:8">
      <c r="G78" s="27">
        <v>2486</v>
      </c>
      <c r="H78" s="27" t="s">
        <v>1436</v>
      </c>
    </row>
    <row r="79" spans="7:8">
      <c r="G79" s="27">
        <v>2487</v>
      </c>
      <c r="H79" s="27" t="s">
        <v>1437</v>
      </c>
    </row>
    <row r="80" spans="7:8">
      <c r="G80" s="27">
        <v>2488</v>
      </c>
      <c r="H80" s="27" t="s">
        <v>1438</v>
      </c>
    </row>
    <row r="81" spans="7:8">
      <c r="G81" s="27">
        <v>2489</v>
      </c>
      <c r="H81" s="27" t="s">
        <v>1439</v>
      </c>
    </row>
    <row r="82" spans="7:8">
      <c r="G82" s="27">
        <v>2491</v>
      </c>
      <c r="H82" s="27" t="s">
        <v>1441</v>
      </c>
    </row>
    <row r="83" spans="7:8">
      <c r="G83" s="27">
        <v>2500</v>
      </c>
      <c r="H83" s="27" t="s">
        <v>1572</v>
      </c>
    </row>
    <row r="84" spans="7:8">
      <c r="G84" s="27">
        <v>2501</v>
      </c>
      <c r="H84" s="27" t="s">
        <v>1459</v>
      </c>
    </row>
    <row r="85" spans="7:8">
      <c r="G85" s="27">
        <v>2502</v>
      </c>
      <c r="H85" s="27" t="s">
        <v>1447</v>
      </c>
    </row>
    <row r="86" spans="7:8">
      <c r="G86" s="27">
        <v>2503</v>
      </c>
      <c r="H86" s="27" t="s">
        <v>1446</v>
      </c>
    </row>
    <row r="87" spans="7:8">
      <c r="G87" s="27">
        <v>2504</v>
      </c>
      <c r="H87" s="27" t="s">
        <v>1450</v>
      </c>
    </row>
    <row r="88" spans="7:8">
      <c r="G88" s="27">
        <v>2505</v>
      </c>
      <c r="H88" s="27" t="s">
        <v>1449</v>
      </c>
    </row>
    <row r="89" spans="7:8">
      <c r="G89" s="27">
        <v>2506</v>
      </c>
      <c r="H89" s="27" t="s">
        <v>1448</v>
      </c>
    </row>
    <row r="90" spans="7:8">
      <c r="G90" s="27">
        <v>2507</v>
      </c>
      <c r="H90" s="27" t="s">
        <v>1452</v>
      </c>
    </row>
    <row r="91" spans="7:8">
      <c r="G91" s="27">
        <v>2508</v>
      </c>
      <c r="H91" s="27" t="s">
        <v>1451</v>
      </c>
    </row>
    <row r="92" spans="7:8">
      <c r="G92" s="27">
        <v>2509</v>
      </c>
      <c r="H92" s="27" t="s">
        <v>1453</v>
      </c>
    </row>
    <row r="93" spans="7:8">
      <c r="G93" s="27">
        <v>2510</v>
      </c>
      <c r="H93" s="27" t="s">
        <v>1456</v>
      </c>
    </row>
    <row r="94" spans="7:8">
      <c r="G94" s="27">
        <v>2511</v>
      </c>
      <c r="H94" s="27" t="s">
        <v>1455</v>
      </c>
    </row>
    <row r="95" spans="7:8">
      <c r="G95" s="27">
        <v>2512</v>
      </c>
      <c r="H95" s="27" t="s">
        <v>1454</v>
      </c>
    </row>
    <row r="96" spans="7:8">
      <c r="G96" s="27">
        <v>2519</v>
      </c>
      <c r="H96" s="27" t="s">
        <v>1444</v>
      </c>
    </row>
    <row r="97" spans="7:8">
      <c r="G97" s="27">
        <v>2520</v>
      </c>
      <c r="H97" s="27" t="s">
        <v>1445</v>
      </c>
    </row>
    <row r="98" spans="7:8">
      <c r="G98" s="27">
        <v>2553</v>
      </c>
      <c r="H98" s="27" t="s">
        <v>1458</v>
      </c>
    </row>
    <row r="99" spans="7:8">
      <c r="G99" s="27">
        <v>2565</v>
      </c>
      <c r="H99" s="27" t="s">
        <v>1460</v>
      </c>
    </row>
    <row r="100" spans="7:8">
      <c r="G100" s="27">
        <v>2566</v>
      </c>
      <c r="H100" s="27" t="s">
        <v>1461</v>
      </c>
    </row>
    <row r="101" spans="7:8">
      <c r="G101" s="27">
        <v>2567</v>
      </c>
      <c r="H101" s="27" t="s">
        <v>1462</v>
      </c>
    </row>
    <row r="102" spans="7:8">
      <c r="G102" s="27">
        <v>2572</v>
      </c>
      <c r="H102" s="27" t="s">
        <v>1463</v>
      </c>
    </row>
    <row r="103" spans="7:8">
      <c r="G103" s="27">
        <v>2573</v>
      </c>
      <c r="H103" s="27" t="s">
        <v>1465</v>
      </c>
    </row>
    <row r="104" spans="7:8">
      <c r="G104" s="27">
        <v>2591</v>
      </c>
      <c r="H104" s="27" t="s">
        <v>1470</v>
      </c>
    </row>
    <row r="105" spans="7:8">
      <c r="G105" s="27">
        <v>2592</v>
      </c>
      <c r="H105" s="27" t="s">
        <v>1471</v>
      </c>
    </row>
    <row r="106" spans="7:8">
      <c r="G106" s="27">
        <v>2595</v>
      </c>
      <c r="H106" s="27" t="s">
        <v>1472</v>
      </c>
    </row>
    <row r="107" spans="7:8">
      <c r="G107" s="27">
        <v>2597</v>
      </c>
      <c r="H107" s="27" t="s">
        <v>1474</v>
      </c>
    </row>
    <row r="108" spans="7:8">
      <c r="G108" s="27">
        <v>2598</v>
      </c>
      <c r="H108" s="27" t="s">
        <v>1475</v>
      </c>
    </row>
    <row r="109" spans="7:8">
      <c r="G109" s="27">
        <v>2600</v>
      </c>
      <c r="H109" s="27" t="s">
        <v>1476</v>
      </c>
    </row>
    <row r="110" spans="7:8">
      <c r="G110" s="27">
        <v>2601</v>
      </c>
      <c r="H110" s="27" t="s">
        <v>1478</v>
      </c>
    </row>
    <row r="111" spans="7:8">
      <c r="G111" s="27">
        <v>2602</v>
      </c>
      <c r="H111" s="27" t="s">
        <v>1479</v>
      </c>
    </row>
    <row r="112" spans="7:8">
      <c r="G112" s="27">
        <v>2605</v>
      </c>
      <c r="H112" s="27" t="s">
        <v>1480</v>
      </c>
    </row>
    <row r="113" spans="7:8">
      <c r="G113" s="27">
        <v>2623</v>
      </c>
      <c r="H113" s="27" t="s">
        <v>1481</v>
      </c>
    </row>
    <row r="114" spans="7:8">
      <c r="G114" s="27">
        <v>2624</v>
      </c>
      <c r="H114" s="27" t="s">
        <v>1482</v>
      </c>
    </row>
    <row r="115" spans="7:8">
      <c r="G115" s="27">
        <v>2625</v>
      </c>
      <c r="H115" s="27" t="s">
        <v>1483</v>
      </c>
    </row>
    <row r="116" spans="7:8">
      <c r="G116" s="27">
        <v>2633</v>
      </c>
      <c r="H116" s="27" t="s">
        <v>1485</v>
      </c>
    </row>
    <row r="117" spans="7:8">
      <c r="G117" s="27">
        <v>2634</v>
      </c>
      <c r="H117" s="27" t="s">
        <v>1486</v>
      </c>
    </row>
    <row r="118" spans="7:8">
      <c r="G118" s="27">
        <v>2637</v>
      </c>
      <c r="H118" s="27" t="s">
        <v>1487</v>
      </c>
    </row>
    <row r="119" spans="7:8">
      <c r="G119" s="27">
        <v>2638</v>
      </c>
      <c r="H119" s="27" t="s">
        <v>1488</v>
      </c>
    </row>
    <row r="120" spans="7:8">
      <c r="G120" s="27">
        <v>2639</v>
      </c>
      <c r="H120" s="27" t="s">
        <v>1489</v>
      </c>
    </row>
    <row r="121" spans="7:8">
      <c r="G121" s="27">
        <v>2643</v>
      </c>
      <c r="H121" s="27" t="s">
        <v>1490</v>
      </c>
    </row>
    <row r="122" spans="7:8">
      <c r="G122" s="27">
        <v>2644</v>
      </c>
      <c r="H122" s="27" t="s">
        <v>1491</v>
      </c>
    </row>
    <row r="123" spans="7:8">
      <c r="G123" s="27">
        <v>2645</v>
      </c>
      <c r="H123" s="27" t="s">
        <v>1492</v>
      </c>
    </row>
    <row r="124" spans="7:8">
      <c r="G124" s="27">
        <v>2657</v>
      </c>
      <c r="H124" s="27" t="s">
        <v>1497</v>
      </c>
    </row>
    <row r="125" spans="7:8">
      <c r="G125" s="27">
        <v>2658</v>
      </c>
      <c r="H125" s="27" t="s">
        <v>1498</v>
      </c>
    </row>
    <row r="126" spans="7:8">
      <c r="G126" s="27">
        <v>2659</v>
      </c>
      <c r="H126" s="27" t="s">
        <v>1573</v>
      </c>
    </row>
    <row r="127" spans="7:8">
      <c r="G127" s="27">
        <v>2660</v>
      </c>
      <c r="H127" s="27" t="s">
        <v>1574</v>
      </c>
    </row>
    <row r="128" spans="7:8">
      <c r="G128" s="27">
        <v>2661</v>
      </c>
      <c r="H128" s="27" t="s">
        <v>1499</v>
      </c>
    </row>
    <row r="129" spans="7:8">
      <c r="G129" s="27">
        <v>2662</v>
      </c>
      <c r="H129" s="27" t="s">
        <v>1500</v>
      </c>
    </row>
    <row r="130" spans="7:8">
      <c r="G130" s="27">
        <v>2665</v>
      </c>
      <c r="H130" s="27" t="s">
        <v>1503</v>
      </c>
    </row>
    <row r="131" spans="7:8">
      <c r="G131" s="27">
        <v>2668</v>
      </c>
      <c r="H131" s="27" t="s">
        <v>1504</v>
      </c>
    </row>
    <row r="132" spans="7:8">
      <c r="G132" s="27">
        <v>2673</v>
      </c>
      <c r="H132" s="27" t="s">
        <v>1508</v>
      </c>
    </row>
    <row r="133" spans="7:8">
      <c r="G133" s="27">
        <v>2674</v>
      </c>
      <c r="H133" s="27" t="s">
        <v>1510</v>
      </c>
    </row>
    <row r="134" spans="7:8">
      <c r="G134" s="27">
        <v>2675</v>
      </c>
      <c r="H134" s="27" t="s">
        <v>1509</v>
      </c>
    </row>
    <row r="135" spans="7:8">
      <c r="G135" s="27">
        <v>2680</v>
      </c>
      <c r="H135" s="27" t="s">
        <v>1511</v>
      </c>
    </row>
    <row r="136" spans="7:8">
      <c r="G136" s="27">
        <v>2685</v>
      </c>
      <c r="H136" s="27" t="s">
        <v>1512</v>
      </c>
    </row>
    <row r="137" spans="7:8">
      <c r="G137" s="27">
        <v>2686</v>
      </c>
      <c r="H137" s="27" t="s">
        <v>1514</v>
      </c>
    </row>
    <row r="138" spans="7:8">
      <c r="G138" s="27">
        <v>2687</v>
      </c>
      <c r="H138" s="27" t="s">
        <v>1515</v>
      </c>
    </row>
    <row r="139" spans="7:8">
      <c r="G139" s="27">
        <v>2692</v>
      </c>
      <c r="H139" s="27" t="s">
        <v>1516</v>
      </c>
    </row>
    <row r="140" spans="7:8">
      <c r="G140" s="27">
        <v>2704</v>
      </c>
      <c r="H140" s="27" t="s">
        <v>1518</v>
      </c>
    </row>
    <row r="141" spans="7:8">
      <c r="G141" s="27">
        <v>2705</v>
      </c>
      <c r="H141" s="27" t="s">
        <v>1519</v>
      </c>
    </row>
    <row r="142" spans="7:8">
      <c r="G142" s="27">
        <v>2719</v>
      </c>
      <c r="H142" s="27" t="s">
        <v>1521</v>
      </c>
    </row>
    <row r="143" spans="7:8">
      <c r="G143" s="27">
        <v>2733</v>
      </c>
      <c r="H143" s="27" t="s">
        <v>1523</v>
      </c>
    </row>
    <row r="144" spans="7:8">
      <c r="G144" s="27">
        <v>2734</v>
      </c>
      <c r="H144" s="27" t="s">
        <v>1526</v>
      </c>
    </row>
    <row r="145" spans="7:8">
      <c r="G145" s="27">
        <v>2735</v>
      </c>
      <c r="H145" s="27" t="s">
        <v>1525</v>
      </c>
    </row>
    <row r="146" spans="7:8">
      <c r="G146" s="27">
        <v>2750</v>
      </c>
      <c r="H146" s="27" t="s">
        <v>1528</v>
      </c>
    </row>
    <row r="147" spans="7:8">
      <c r="G147" s="27">
        <v>2751</v>
      </c>
      <c r="H147" s="27" t="s">
        <v>1527</v>
      </c>
    </row>
    <row r="148" spans="7:8">
      <c r="G148" s="27">
        <v>2752</v>
      </c>
      <c r="H148" s="27" t="s">
        <v>1529</v>
      </c>
    </row>
    <row r="149" spans="7:8">
      <c r="G149" s="27">
        <v>2754</v>
      </c>
      <c r="H149" s="27" t="s">
        <v>1575</v>
      </c>
    </row>
    <row r="150" spans="7:8">
      <c r="G150" s="27">
        <v>2755</v>
      </c>
      <c r="H150" s="27" t="s">
        <v>1576</v>
      </c>
    </row>
    <row r="151" spans="7:8">
      <c r="G151" s="27">
        <v>2756</v>
      </c>
      <c r="H151" s="27" t="s">
        <v>1577</v>
      </c>
    </row>
    <row r="152" spans="7:8">
      <c r="G152" s="27">
        <v>2757</v>
      </c>
      <c r="H152" s="27" t="s">
        <v>1578</v>
      </c>
    </row>
    <row r="153" spans="7:8">
      <c r="G153" s="27">
        <v>2763</v>
      </c>
      <c r="H153" s="27" t="s">
        <v>1533</v>
      </c>
    </row>
    <row r="154" spans="7:8">
      <c r="G154" s="27">
        <v>2764</v>
      </c>
      <c r="H154" s="27" t="s">
        <v>1534</v>
      </c>
    </row>
    <row r="155" spans="7:8">
      <c r="G155" s="27">
        <v>2765</v>
      </c>
      <c r="H155" s="27" t="s">
        <v>1535</v>
      </c>
    </row>
    <row r="156" spans="7:8">
      <c r="G156" s="27">
        <v>2767</v>
      </c>
      <c r="H156" s="27" t="s">
        <v>1536</v>
      </c>
    </row>
    <row r="157" spans="7:8">
      <c r="G157" s="27">
        <v>2769</v>
      </c>
      <c r="H157" s="27" t="s">
        <v>1539</v>
      </c>
    </row>
    <row r="158" spans="7:8">
      <c r="G158" s="27">
        <v>2770</v>
      </c>
      <c r="H158" s="27" t="s">
        <v>1540</v>
      </c>
    </row>
    <row r="159" spans="7:8">
      <c r="G159" s="27">
        <v>2771</v>
      </c>
      <c r="H159" s="27" t="s">
        <v>1541</v>
      </c>
    </row>
    <row r="160" spans="7:8">
      <c r="G160" s="27">
        <v>2772</v>
      </c>
      <c r="H160" s="27" t="s">
        <v>1542</v>
      </c>
    </row>
    <row r="161" spans="7:8">
      <c r="G161" s="27">
        <v>2773</v>
      </c>
      <c r="H161" s="27" t="s">
        <v>1543</v>
      </c>
    </row>
    <row r="162" spans="7:8">
      <c r="G162" s="27">
        <v>2775</v>
      </c>
      <c r="H162" s="27" t="s">
        <v>1545</v>
      </c>
    </row>
    <row r="163" spans="7:8">
      <c r="G163" s="27">
        <v>2776</v>
      </c>
      <c r="H163" s="27" t="s">
        <v>1546</v>
      </c>
    </row>
    <row r="164" spans="7:8">
      <c r="G164" s="27">
        <v>2778</v>
      </c>
      <c r="H164" s="27" t="s">
        <v>1547</v>
      </c>
    </row>
    <row r="165" spans="7:8">
      <c r="G165" s="27">
        <v>2779</v>
      </c>
      <c r="H165" s="27" t="s">
        <v>1548</v>
      </c>
    </row>
    <row r="166" spans="7:8">
      <c r="G166" s="27">
        <v>2782</v>
      </c>
      <c r="H166" s="27" t="s">
        <v>1549</v>
      </c>
    </row>
    <row r="167" spans="7:8">
      <c r="G167" s="27">
        <v>2793</v>
      </c>
      <c r="H167" s="27" t="s">
        <v>1554</v>
      </c>
    </row>
    <row r="168" spans="7:8">
      <c r="G168" s="27">
        <v>2794</v>
      </c>
      <c r="H168" s="27" t="s">
        <v>1555</v>
      </c>
    </row>
    <row r="169" spans="7:8">
      <c r="G169" s="27">
        <v>2807</v>
      </c>
      <c r="H169" s="27" t="s">
        <v>1557</v>
      </c>
    </row>
    <row r="170" spans="7:8">
      <c r="G170" s="27">
        <v>2810</v>
      </c>
      <c r="H170" s="27" t="s">
        <v>1560</v>
      </c>
    </row>
    <row r="171" spans="7:8">
      <c r="G171" s="27">
        <v>2811</v>
      </c>
      <c r="H171" s="27" t="s">
        <v>1561</v>
      </c>
    </row>
    <row r="172" spans="7:8">
      <c r="G172" s="27">
        <v>2812</v>
      </c>
      <c r="H172" s="27" t="s">
        <v>1562</v>
      </c>
    </row>
    <row r="173" spans="7:8">
      <c r="G173" s="27">
        <v>2815</v>
      </c>
      <c r="H173" s="27" t="s">
        <v>1565</v>
      </c>
    </row>
    <row r="174" spans="7:8">
      <c r="G174" s="27">
        <v>2831</v>
      </c>
      <c r="H174" s="27" t="s">
        <v>1579</v>
      </c>
    </row>
    <row r="175" spans="7:8">
      <c r="G175" s="27">
        <v>2834</v>
      </c>
      <c r="H175" s="27" t="s">
        <v>1580</v>
      </c>
    </row>
    <row r="176" spans="7:8">
      <c r="G176" s="27">
        <v>2835</v>
      </c>
      <c r="H176" s="27" t="s">
        <v>1581</v>
      </c>
    </row>
    <row r="177" spans="7:8">
      <c r="G177" s="27">
        <v>2841</v>
      </c>
      <c r="H177" s="27" t="s">
        <v>1582</v>
      </c>
    </row>
    <row r="178" spans="7:8">
      <c r="G178" s="27">
        <v>2846</v>
      </c>
      <c r="H178" s="27" t="s">
        <v>1583</v>
      </c>
    </row>
    <row r="179" spans="7:8">
      <c r="G179" s="27"/>
      <c r="H179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</vt:lpstr>
      <vt:lpstr>Hoja2</vt:lpstr>
      <vt:lpstr>AGRUPADO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manuelgomezc.1990@outlook.com</cp:lastModifiedBy>
  <dcterms:created xsi:type="dcterms:W3CDTF">2026-01-06T15:45:24Z</dcterms:created>
  <dcterms:modified xsi:type="dcterms:W3CDTF">2026-09-15T12:45:30Z</dcterms:modified>
</cp:coreProperties>
</file>